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eva_ENEMDU\intermedios\2. tamanio_de_muestra\"/>
    </mc:Choice>
  </mc:AlternateContent>
  <bookViews>
    <workbookView xWindow="240" yWindow="15" windowWidth="16095" windowHeight="9660" activeTab="1"/>
  </bookViews>
  <sheets>
    <sheet name="resultados_desemp" sheetId="1" r:id="rId1"/>
    <sheet name="resultados_pobreza" sheetId="2" r:id="rId2"/>
    <sheet name="tamaño_mes" sheetId="3" r:id="rId3"/>
    <sheet name="Hoja3" sheetId="4" r:id="rId4"/>
  </sheets>
  <calcPr calcId="162913"/>
</workbook>
</file>

<file path=xl/calcChain.xml><?xml version="1.0" encoding="utf-8"?>
<calcChain xmlns="http://schemas.openxmlformats.org/spreadsheetml/2006/main">
  <c r="Q28" i="2" l="1"/>
  <c r="Q29" i="2"/>
  <c r="Q30" i="2"/>
  <c r="Q31" i="2"/>
  <c r="Q32" i="2"/>
  <c r="Q33" i="2"/>
  <c r="Q34" i="2"/>
  <c r="Q35" i="2"/>
  <c r="Q36" i="2"/>
  <c r="Q37" i="2"/>
  <c r="Q38" i="2"/>
  <c r="F2" i="4" l="1"/>
  <c r="D2" i="4" l="1"/>
  <c r="I8" i="4" l="1"/>
  <c r="D12" i="4"/>
  <c r="C13" i="4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2" i="1"/>
  <c r="Q2" i="1"/>
  <c r="M3" i="4" l="1"/>
  <c r="M4" i="4"/>
  <c r="M5" i="4"/>
  <c r="M6" i="4"/>
  <c r="M7" i="4"/>
  <c r="M8" i="4"/>
  <c r="M9" i="4"/>
  <c r="M10" i="4"/>
  <c r="M2" i="4"/>
  <c r="K3" i="4"/>
  <c r="K4" i="4"/>
  <c r="K5" i="4"/>
  <c r="K6" i="4"/>
  <c r="K7" i="4"/>
  <c r="K2" i="4"/>
  <c r="K9" i="4"/>
  <c r="K10" i="4"/>
  <c r="K8" i="4"/>
  <c r="I9" i="4"/>
  <c r="I10" i="4"/>
  <c r="H11" i="4"/>
  <c r="F3" i="4"/>
  <c r="F4" i="4"/>
  <c r="F5" i="4"/>
  <c r="F6" i="4"/>
  <c r="F7" i="4"/>
  <c r="F8" i="4"/>
  <c r="F9" i="4"/>
  <c r="F10" i="4"/>
  <c r="D3" i="4"/>
  <c r="D4" i="4"/>
  <c r="D5" i="4"/>
  <c r="D6" i="4"/>
  <c r="D7" i="4"/>
  <c r="D8" i="4"/>
  <c r="D9" i="4"/>
  <c r="D10" i="4"/>
  <c r="E21" i="3"/>
  <c r="D2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" i="3"/>
  <c r="E5" i="3"/>
  <c r="W6" i="1"/>
  <c r="X6" i="1" s="1"/>
  <c r="AA6" i="1"/>
  <c r="AB6" i="1"/>
  <c r="AB3" i="1"/>
  <c r="AB4" i="1"/>
  <c r="AB5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2" i="1"/>
  <c r="AA2" i="1"/>
  <c r="W5" i="1"/>
  <c r="AA3" i="1"/>
  <c r="AA4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Y5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" i="1"/>
  <c r="Z4" i="1"/>
  <c r="Z2" i="1"/>
  <c r="Y3" i="1"/>
  <c r="Y4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2" i="1"/>
  <c r="X3" i="1"/>
  <c r="X4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2" i="1"/>
  <c r="W3" i="1"/>
  <c r="W4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2" i="1"/>
  <c r="Y6" i="1" l="1"/>
  <c r="Z6" i="1" s="1"/>
  <c r="X5" i="1"/>
  <c r="Z5" i="1" s="1"/>
  <c r="C11" i="4" l="1"/>
  <c r="E29" i="3"/>
  <c r="E30" i="3"/>
  <c r="E31" i="3"/>
  <c r="E32" i="3"/>
  <c r="E33" i="3"/>
  <c r="E34" i="3"/>
  <c r="E35" i="3"/>
  <c r="E36" i="3"/>
  <c r="E37" i="3"/>
  <c r="E38" i="3"/>
  <c r="E3" i="3"/>
  <c r="E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2" i="3"/>
  <c r="E23" i="3"/>
  <c r="E24" i="3"/>
  <c r="E25" i="3"/>
  <c r="E26" i="3"/>
  <c r="E27" i="3"/>
  <c r="E28" i="3"/>
  <c r="E2" i="3"/>
  <c r="P38" i="2"/>
  <c r="O38" i="2"/>
  <c r="R38" i="2" s="1"/>
  <c r="S38" i="2" s="1"/>
  <c r="T38" i="2" s="1"/>
  <c r="U38" i="2" s="1"/>
  <c r="N38" i="2"/>
  <c r="R37" i="2"/>
  <c r="S37" i="2" s="1"/>
  <c r="T37" i="2" s="1"/>
  <c r="U37" i="2" s="1"/>
  <c r="P37" i="2"/>
  <c r="O37" i="2"/>
  <c r="N37" i="2"/>
  <c r="R36" i="2"/>
  <c r="S36" i="2" s="1"/>
  <c r="T36" i="2" s="1"/>
  <c r="U36" i="2" s="1"/>
  <c r="P36" i="2"/>
  <c r="O36" i="2"/>
  <c r="N36" i="2"/>
  <c r="P35" i="2"/>
  <c r="R35" i="2" s="1"/>
  <c r="S35" i="2" s="1"/>
  <c r="T35" i="2" s="1"/>
  <c r="U35" i="2" s="1"/>
  <c r="O35" i="2"/>
  <c r="N35" i="2"/>
  <c r="R34" i="2"/>
  <c r="S34" i="2" s="1"/>
  <c r="T34" i="2" s="1"/>
  <c r="U34" i="2" s="1"/>
  <c r="P34" i="2"/>
  <c r="O34" i="2"/>
  <c r="N34" i="2"/>
  <c r="R33" i="2"/>
  <c r="S33" i="2" s="1"/>
  <c r="T33" i="2" s="1"/>
  <c r="U33" i="2" s="1"/>
  <c r="P33" i="2"/>
  <c r="O33" i="2"/>
  <c r="N33" i="2"/>
  <c r="P32" i="2"/>
  <c r="R32" i="2" s="1"/>
  <c r="S32" i="2" s="1"/>
  <c r="T32" i="2" s="1"/>
  <c r="U32" i="2" s="1"/>
  <c r="O32" i="2"/>
  <c r="N32" i="2"/>
  <c r="R31" i="2"/>
  <c r="S31" i="2" s="1"/>
  <c r="T31" i="2" s="1"/>
  <c r="U31" i="2" s="1"/>
  <c r="P31" i="2"/>
  <c r="O31" i="2"/>
  <c r="N31" i="2"/>
  <c r="R30" i="2"/>
  <c r="S30" i="2" s="1"/>
  <c r="T30" i="2" s="1"/>
  <c r="U30" i="2" s="1"/>
  <c r="P30" i="2"/>
  <c r="O30" i="2"/>
  <c r="N30" i="2"/>
  <c r="P29" i="2"/>
  <c r="R29" i="2" s="1"/>
  <c r="S29" i="2" s="1"/>
  <c r="T29" i="2" s="1"/>
  <c r="U29" i="2" s="1"/>
  <c r="O29" i="2"/>
  <c r="N29" i="2"/>
  <c r="R28" i="2"/>
  <c r="S28" i="2" s="1"/>
  <c r="T28" i="2" s="1"/>
  <c r="U28" i="2" s="1"/>
  <c r="P28" i="2"/>
  <c r="O28" i="2"/>
  <c r="N28" i="2"/>
  <c r="R27" i="2"/>
  <c r="S27" i="2" s="1"/>
  <c r="T27" i="2" s="1"/>
  <c r="U27" i="2" s="1"/>
  <c r="Q27" i="2"/>
  <c r="P27" i="2"/>
  <c r="O27" i="2"/>
  <c r="N27" i="2"/>
  <c r="Q26" i="2"/>
  <c r="P26" i="2"/>
  <c r="R26" i="2" s="1"/>
  <c r="S26" i="2" s="1"/>
  <c r="T26" i="2" s="1"/>
  <c r="U26" i="2" s="1"/>
  <c r="O26" i="2"/>
  <c r="N26" i="2"/>
  <c r="R25" i="2"/>
  <c r="S25" i="2" s="1"/>
  <c r="T25" i="2" s="1"/>
  <c r="U25" i="2" s="1"/>
  <c r="Q25" i="2"/>
  <c r="P25" i="2"/>
  <c r="O25" i="2"/>
  <c r="N25" i="2"/>
  <c r="R24" i="2"/>
  <c r="S24" i="2" s="1"/>
  <c r="T24" i="2" s="1"/>
  <c r="U24" i="2" s="1"/>
  <c r="Q24" i="2"/>
  <c r="P24" i="2"/>
  <c r="O24" i="2"/>
  <c r="N24" i="2"/>
  <c r="Q23" i="2"/>
  <c r="P23" i="2"/>
  <c r="R23" i="2" s="1"/>
  <c r="S23" i="2" s="1"/>
  <c r="T23" i="2" s="1"/>
  <c r="U23" i="2" s="1"/>
  <c r="O23" i="2"/>
  <c r="N23" i="2"/>
  <c r="Q22" i="2"/>
  <c r="P22" i="2"/>
  <c r="R22" i="2" s="1"/>
  <c r="S22" i="2" s="1"/>
  <c r="T22" i="2" s="1"/>
  <c r="U22" i="2" s="1"/>
  <c r="O22" i="2"/>
  <c r="N22" i="2"/>
  <c r="R21" i="2"/>
  <c r="S21" i="2" s="1"/>
  <c r="T21" i="2" s="1"/>
  <c r="U21" i="2" s="1"/>
  <c r="Q21" i="2"/>
  <c r="P21" i="2"/>
  <c r="O21" i="2"/>
  <c r="N21" i="2"/>
  <c r="Q20" i="2"/>
  <c r="P20" i="2"/>
  <c r="R20" i="2" s="1"/>
  <c r="S20" i="2" s="1"/>
  <c r="T20" i="2" s="1"/>
  <c r="U20" i="2" s="1"/>
  <c r="O20" i="2"/>
  <c r="N20" i="2"/>
  <c r="Q19" i="2"/>
  <c r="P19" i="2"/>
  <c r="R19" i="2" s="1"/>
  <c r="S19" i="2" s="1"/>
  <c r="T19" i="2" s="1"/>
  <c r="U19" i="2" s="1"/>
  <c r="O19" i="2"/>
  <c r="N19" i="2"/>
  <c r="R18" i="2"/>
  <c r="S18" i="2" s="1"/>
  <c r="T18" i="2" s="1"/>
  <c r="U18" i="2" s="1"/>
  <c r="Q18" i="2"/>
  <c r="P18" i="2"/>
  <c r="O18" i="2"/>
  <c r="N18" i="2"/>
  <c r="Q17" i="2"/>
  <c r="P17" i="2"/>
  <c r="R17" i="2" s="1"/>
  <c r="S17" i="2" s="1"/>
  <c r="T17" i="2" s="1"/>
  <c r="U17" i="2" s="1"/>
  <c r="O17" i="2"/>
  <c r="N17" i="2"/>
  <c r="Q16" i="2"/>
  <c r="P16" i="2"/>
  <c r="R16" i="2" s="1"/>
  <c r="S16" i="2" s="1"/>
  <c r="T16" i="2" s="1"/>
  <c r="U16" i="2" s="1"/>
  <c r="O16" i="2"/>
  <c r="N16" i="2"/>
  <c r="R15" i="2"/>
  <c r="S15" i="2" s="1"/>
  <c r="T15" i="2" s="1"/>
  <c r="U15" i="2" s="1"/>
  <c r="Q15" i="2"/>
  <c r="P15" i="2"/>
  <c r="O15" i="2"/>
  <c r="N15" i="2"/>
  <c r="Q14" i="2"/>
  <c r="P14" i="2"/>
  <c r="R14" i="2" s="1"/>
  <c r="S14" i="2" s="1"/>
  <c r="T14" i="2" s="1"/>
  <c r="U14" i="2" s="1"/>
  <c r="O14" i="2"/>
  <c r="N14" i="2"/>
  <c r="Q13" i="2"/>
  <c r="P13" i="2"/>
  <c r="R13" i="2" s="1"/>
  <c r="S13" i="2" s="1"/>
  <c r="T13" i="2" s="1"/>
  <c r="U13" i="2" s="1"/>
  <c r="O13" i="2"/>
  <c r="N13" i="2"/>
  <c r="R12" i="2"/>
  <c r="S12" i="2" s="1"/>
  <c r="T12" i="2" s="1"/>
  <c r="U12" i="2" s="1"/>
  <c r="Q12" i="2"/>
  <c r="P12" i="2"/>
  <c r="O12" i="2"/>
  <c r="N12" i="2"/>
  <c r="Q11" i="2"/>
  <c r="P11" i="2"/>
  <c r="R11" i="2" s="1"/>
  <c r="S11" i="2" s="1"/>
  <c r="T11" i="2" s="1"/>
  <c r="U11" i="2" s="1"/>
  <c r="O11" i="2"/>
  <c r="N11" i="2"/>
  <c r="Q10" i="2"/>
  <c r="P10" i="2"/>
  <c r="R10" i="2" s="1"/>
  <c r="S10" i="2" s="1"/>
  <c r="T10" i="2" s="1"/>
  <c r="U10" i="2" s="1"/>
  <c r="O10" i="2"/>
  <c r="N10" i="2"/>
  <c r="R9" i="2"/>
  <c r="S9" i="2" s="1"/>
  <c r="T9" i="2" s="1"/>
  <c r="U9" i="2" s="1"/>
  <c r="Q9" i="2"/>
  <c r="P9" i="2"/>
  <c r="O9" i="2"/>
  <c r="N9" i="2"/>
  <c r="Q8" i="2"/>
  <c r="P8" i="2"/>
  <c r="R8" i="2" s="1"/>
  <c r="S8" i="2" s="1"/>
  <c r="T8" i="2" s="1"/>
  <c r="U8" i="2" s="1"/>
  <c r="O8" i="2"/>
  <c r="N8" i="2"/>
  <c r="Q7" i="2"/>
  <c r="P7" i="2"/>
  <c r="O7" i="2"/>
  <c r="R7" i="2" s="1"/>
  <c r="S7" i="2" s="1"/>
  <c r="T7" i="2" s="1"/>
  <c r="U7" i="2" s="1"/>
  <c r="N7" i="2"/>
  <c r="R6" i="2"/>
  <c r="S6" i="2" s="1"/>
  <c r="T6" i="2" s="1"/>
  <c r="U6" i="2" s="1"/>
  <c r="Q6" i="2"/>
  <c r="P6" i="2"/>
  <c r="O6" i="2"/>
  <c r="N6" i="2"/>
  <c r="Q5" i="2"/>
  <c r="P5" i="2"/>
  <c r="R5" i="2" s="1"/>
  <c r="S5" i="2" s="1"/>
  <c r="T5" i="2" s="1"/>
  <c r="U5" i="2" s="1"/>
  <c r="O5" i="2"/>
  <c r="N5" i="2"/>
  <c r="Q4" i="2"/>
  <c r="P4" i="2"/>
  <c r="O4" i="2"/>
  <c r="R4" i="2" s="1"/>
  <c r="S4" i="2" s="1"/>
  <c r="T4" i="2" s="1"/>
  <c r="U4" i="2" s="1"/>
  <c r="N4" i="2"/>
  <c r="R3" i="2"/>
  <c r="S3" i="2" s="1"/>
  <c r="T3" i="2" s="1"/>
  <c r="U3" i="2" s="1"/>
  <c r="Q3" i="2"/>
  <c r="P3" i="2"/>
  <c r="O3" i="2"/>
  <c r="N3" i="2"/>
  <c r="Q2" i="2"/>
  <c r="P2" i="2"/>
  <c r="R2" i="2" s="1"/>
  <c r="S2" i="2" s="1"/>
  <c r="T2" i="2" s="1"/>
  <c r="U2" i="2" s="1"/>
  <c r="O2" i="2"/>
  <c r="N2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2" i="1"/>
  <c r="P3" i="1"/>
  <c r="P4" i="1"/>
  <c r="P5" i="1"/>
  <c r="P6" i="1"/>
  <c r="P7" i="1"/>
  <c r="S7" i="1" s="1"/>
  <c r="P8" i="1"/>
  <c r="S8" i="1" s="1"/>
  <c r="P9" i="1"/>
  <c r="P10" i="1"/>
  <c r="P11" i="1"/>
  <c r="P12" i="1"/>
  <c r="P13" i="1"/>
  <c r="P14" i="1"/>
  <c r="P15" i="1"/>
  <c r="P16" i="1"/>
  <c r="P17" i="1"/>
  <c r="P18" i="1"/>
  <c r="P19" i="1"/>
  <c r="S19" i="1" s="1"/>
  <c r="P20" i="1"/>
  <c r="S20" i="1" s="1"/>
  <c r="P21" i="1"/>
  <c r="P22" i="1"/>
  <c r="P23" i="1"/>
  <c r="P24" i="1"/>
  <c r="S24" i="1" s="1"/>
  <c r="P25" i="1"/>
  <c r="P26" i="1"/>
  <c r="P27" i="1"/>
  <c r="P28" i="1"/>
  <c r="P29" i="1"/>
  <c r="P30" i="1"/>
  <c r="P31" i="1"/>
  <c r="S31" i="1" s="1"/>
  <c r="P32" i="1"/>
  <c r="S32" i="1" s="1"/>
  <c r="P33" i="1"/>
  <c r="P34" i="1"/>
  <c r="P35" i="1"/>
  <c r="P36" i="1"/>
  <c r="P37" i="1"/>
  <c r="P3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2" i="1"/>
  <c r="S36" i="1" l="1"/>
  <c r="S12" i="1"/>
  <c r="S35" i="1"/>
  <c r="S23" i="1"/>
  <c r="S11" i="1"/>
  <c r="S34" i="1"/>
  <c r="S22" i="1"/>
  <c r="S10" i="1"/>
  <c r="S18" i="1"/>
  <c r="S6" i="1"/>
  <c r="S29" i="1"/>
  <c r="S5" i="1"/>
  <c r="S17" i="1"/>
  <c r="S30" i="1"/>
  <c r="S38" i="1"/>
  <c r="S26" i="1"/>
  <c r="S14" i="1"/>
  <c r="S37" i="1"/>
  <c r="S25" i="1"/>
  <c r="S13" i="1"/>
  <c r="S4" i="1"/>
  <c r="S15" i="1"/>
  <c r="S3" i="1"/>
  <c r="S28" i="1"/>
  <c r="S2" i="1"/>
  <c r="S27" i="1"/>
  <c r="S33" i="1"/>
  <c r="S9" i="1"/>
  <c r="S21" i="1"/>
  <c r="S16" i="1"/>
</calcChain>
</file>

<file path=xl/sharedStrings.xml><?xml version="1.0" encoding="utf-8"?>
<sst xmlns="http://schemas.openxmlformats.org/spreadsheetml/2006/main" count="189" uniqueCount="85">
  <si>
    <t>dominio</t>
  </si>
  <si>
    <t>n_per</t>
  </si>
  <si>
    <t>tasa</t>
  </si>
  <si>
    <t>tasa_cv</t>
  </si>
  <si>
    <t>tasa_se</t>
  </si>
  <si>
    <t>tasa_low</t>
  </si>
  <si>
    <t>tasa_upp</t>
  </si>
  <si>
    <t>tasa_deff</t>
  </si>
  <si>
    <t>N_d</t>
  </si>
  <si>
    <t>n_viv_total</t>
  </si>
  <si>
    <t>n_viv_promedio</t>
  </si>
  <si>
    <t>N_15</t>
  </si>
  <si>
    <t>promedio</t>
  </si>
  <si>
    <t>NACIONAL</t>
  </si>
  <si>
    <t>URBANO</t>
  </si>
  <si>
    <t>RURAL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</si>
  <si>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</si>
  <si>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</si>
  <si>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</si>
  <si>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</si>
  <si>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</si>
  <si>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</si>
  <si>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</si>
  <si>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</si>
  <si>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</si>
  <si>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</si>
  <si>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</si>
  <si>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</si>
  <si>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</si>
  <si>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</si>
  <si>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</si>
  <si>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</si>
  <si>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</si>
  <si>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</si>
  <si>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</si>
  <si>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</si>
  <si>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</si>
  <si>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</si>
  <si>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</si>
  <si>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</si>
  <si>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CUENCA_c</t>
  </si>
  <si>
    <t>RIOBAMBA_c</t>
  </si>
  <si>
    <t>LOJA_c</t>
  </si>
  <si>
    <t>QUITO_c</t>
  </si>
  <si>
    <t>AMBATO_c</t>
  </si>
  <si>
    <t>SANTO DOMINGO_c</t>
  </si>
  <si>
    <t>MACHALA_c_u</t>
  </si>
  <si>
    <t>ESMERALDAS_c_u</t>
  </si>
  <si>
    <t>GUAYAQUIL_c_u</t>
  </si>
  <si>
    <t>MANTA_c_u</t>
  </si>
  <si>
    <t>rho</t>
  </si>
  <si>
    <t>numerador</t>
  </si>
  <si>
    <t xml:space="preserve">denominador </t>
  </si>
  <si>
    <t>n_d</t>
  </si>
  <si>
    <t>1/1-TNR</t>
  </si>
  <si>
    <t>n_personas</t>
  </si>
  <si>
    <t>n_viviendas</t>
  </si>
  <si>
    <t>N_p</t>
  </si>
  <si>
    <t>total</t>
  </si>
  <si>
    <t>n_p</t>
  </si>
  <si>
    <t>n_max</t>
  </si>
  <si>
    <t>estrato</t>
  </si>
  <si>
    <t>provin</t>
  </si>
  <si>
    <t>1711</t>
  </si>
  <si>
    <t>17</t>
  </si>
  <si>
    <t>1712</t>
  </si>
  <si>
    <t>1713</t>
  </si>
  <si>
    <t>1721</t>
  </si>
  <si>
    <t>1722</t>
  </si>
  <si>
    <t>1723</t>
  </si>
  <si>
    <t>2511</t>
  </si>
  <si>
    <t>2512</t>
  </si>
  <si>
    <t>2513</t>
  </si>
  <si>
    <t>eabs= error estandar</t>
  </si>
  <si>
    <t>LI</t>
  </si>
  <si>
    <t>LS</t>
  </si>
  <si>
    <t>rango</t>
  </si>
  <si>
    <t>d</t>
  </si>
  <si>
    <t>cv</t>
  </si>
  <si>
    <t>ajustados_por_estrato</t>
  </si>
  <si>
    <t>tamaño_mes_upms</t>
  </si>
  <si>
    <t>viv_por_estrato</t>
  </si>
  <si>
    <t>prop_pichincha</t>
  </si>
  <si>
    <t>muestra_pichincha</t>
  </si>
  <si>
    <t>afinamiento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</si>
</sst>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10" fontId="0" fillId="0" borderId="0" xfId="1" applyNumberFormat="1" applyFont="1"/>
    <xf numFmtId="10" fontId="0" fillId="2" borderId="0" xfId="1" applyNumberFormat="1" applyFont="1" applyFill="1"/>
    <xf numFmtId="10" fontId="0" fillId="0" borderId="0" xfId="0" applyNumberFormat="1"/>
    <xf numFmtId="2" fontId="0" fillId="0" borderId="0" xfId="1" applyNumberFormat="1" applyFont="1"/>
    <xf numFmtId="2" fontId="0" fillId="2" borderId="0" xfId="1" applyNumberFormat="1" applyFont="1" applyFill="1"/>
    <xf numFmtId="10" fontId="0" fillId="2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66" fontId="0" fillId="3" borderId="0" xfId="0" applyNumberFormat="1" applyFill="1"/>
    <xf numFmtId="0" fontId="1" fillId="0" borderId="0" xfId="0" applyFont="1"/>
    <xf numFmtId="165" fontId="1" fillId="3" borderId="0" xfId="0" applyNumberFormat="1" applyFont="1" applyFill="1"/>
    <xf numFmtId="0" fontId="1" fillId="3" borderId="0" xfId="0" applyFont="1" applyFill="1"/>
    <xf numFmtId="166" fontId="1" fillId="3" borderId="0" xfId="0" applyNumberFormat="1" applyFont="1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0" fillId="0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2" fontId="0" fillId="0" borderId="0" xfId="0" applyNumberFormat="1" applyFill="1"/>
    <xf numFmtId="1" fontId="0" fillId="0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2" fontId="0" fillId="6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257175</xdr:colOff>
      <xdr:row>0</xdr:row>
      <xdr:rowOff>28575</xdr:rowOff>
    </xdr:from>
    <xdr:ext cx="1152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/>
            <xdr:cNvSpPr txBox="1"/>
          </xdr:nvSpPr>
          <xdr:spPr>
            <a:xfrm>
              <a:off x="9353550" y="28575"/>
              <a:ext cx="1152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C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acc>
                  </m:oMath>
                </m:oMathPara>
              </a14:m>
              <a:endParaRPr lang="es-EC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9353550" y="28575"/>
              <a:ext cx="1152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𝑛</a:t>
              </a:r>
              <a:r>
                <a:rPr lang="es-EC" sz="1100" b="0" i="0">
                  <a:latin typeface="Cambria Math" panose="02040503050406030204" pitchFamily="18" charset="0"/>
                </a:rPr>
                <a:t> ̅</a:t>
              </a:r>
              <a:endParaRPr lang="es-EC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F1" workbookViewId="0">
      <selection activeCell="M8" sqref="M8"/>
    </sheetView>
  </sheetViews>
  <sheetFormatPr baseColWidth="10" defaultColWidth="9.140625" defaultRowHeight="15" x14ac:dyDescent="0.25"/>
  <cols>
    <col min="10" max="10" width="13.5703125" customWidth="1"/>
    <col min="11" max="11" width="20.85546875" customWidth="1"/>
    <col min="12" max="12" width="10.5703125" customWidth="1"/>
    <col min="16" max="18" width="13.28515625" customWidth="1"/>
    <col min="19" max="19" width="12.7109375" customWidth="1"/>
    <col min="20" max="20" width="14" customWidth="1"/>
    <col min="21" max="21" width="13.42578125" customWidth="1"/>
    <col min="22" max="22" width="10.85546875" customWidth="1"/>
    <col min="23" max="23" width="16.28515625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50</v>
      </c>
      <c r="P1" s="1" t="s">
        <v>51</v>
      </c>
      <c r="Q1" s="1" t="s">
        <v>52</v>
      </c>
      <c r="R1" s="1" t="s">
        <v>54</v>
      </c>
      <c r="S1" s="1" t="s">
        <v>55</v>
      </c>
      <c r="T1" s="1" t="s">
        <v>55</v>
      </c>
      <c r="U1" s="1" t="s">
        <v>56</v>
      </c>
      <c r="V1" s="1" t="s">
        <v>53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</row>
    <row r="2" spans="1:28" x14ac:dyDescent="0.25">
      <c r="A2" t="s">
        <v>13</v>
      </c>
      <c r="B2">
        <v>345174</v>
      </c>
      <c r="C2" s="12">
        <v>3.9169999999999996E-2</v>
      </c>
      <c r="D2">
        <v>1.7000000000000001E-2</v>
      </c>
      <c r="E2">
        <v>6.8000000000000005E-2</v>
      </c>
      <c r="F2">
        <v>3.7850000000000001</v>
      </c>
      <c r="G2">
        <v>4.05</v>
      </c>
      <c r="H2">
        <v>2.1549999999999998</v>
      </c>
      <c r="I2">
        <v>12574858</v>
      </c>
      <c r="J2">
        <v>104713</v>
      </c>
      <c r="K2">
        <v>6.7753477838887104</v>
      </c>
      <c r="L2">
        <v>269914</v>
      </c>
      <c r="M2">
        <v>2.5776551144557001</v>
      </c>
      <c r="N2">
        <f>K2*M2</f>
        <v>17.464509867356828</v>
      </c>
      <c r="O2">
        <f>(H2-1)/(K2*M2-1)</f>
        <v>7.0150888748285622E-2</v>
      </c>
      <c r="P2">
        <f>C2*(1-C2)*H2</f>
        <v>8.1104957420499987E-2</v>
      </c>
      <c r="Q2">
        <f>(((0.15^2)*(C2^2))/(0.95)^2)+((C2*(1-C2)*H2)/I2)</f>
        <v>3.8257419577329806E-5</v>
      </c>
      <c r="R2">
        <f>1/(1-0.2)</f>
        <v>1.25</v>
      </c>
      <c r="S2" s="3">
        <f t="shared" ref="S2:S38" si="0">P2/Q2</f>
        <v>2119.9798187267274</v>
      </c>
      <c r="T2" s="2">
        <f>ROUNDUP(S2,0)</f>
        <v>2120</v>
      </c>
      <c r="U2">
        <f>ROUNDUP(T2/M2,0)</f>
        <v>823</v>
      </c>
      <c r="V2">
        <f>ROUNDUP(U2/7,0)</f>
        <v>118</v>
      </c>
      <c r="W2" s="7">
        <f>C2*0.15</f>
        <v>5.8754999999999996E-3</v>
      </c>
      <c r="X2" s="9">
        <f>C2-1.96*W2</f>
        <v>2.7654019999999998E-2</v>
      </c>
      <c r="Y2" s="9">
        <f>C2+1.96*W2</f>
        <v>5.0685979999999992E-2</v>
      </c>
      <c r="Z2" s="11">
        <f>Y2-X2</f>
        <v>2.3031959999999994E-2</v>
      </c>
      <c r="AA2" s="3">
        <f>3/(2*1.95*C2)</f>
        <v>19.638263192003301</v>
      </c>
      <c r="AB2">
        <f>AA2/1.95</f>
        <v>10.070904201027334</v>
      </c>
    </row>
    <row r="3" spans="1:28" x14ac:dyDescent="0.25">
      <c r="A3" t="s">
        <v>14</v>
      </c>
      <c r="B3">
        <v>252463</v>
      </c>
      <c r="C3" s="12">
        <v>5.0090000000000003E-2</v>
      </c>
      <c r="D3">
        <v>1.9E-2</v>
      </c>
      <c r="E3">
        <v>9.2999999999999999E-2</v>
      </c>
      <c r="F3">
        <v>4.827</v>
      </c>
      <c r="G3">
        <v>5.1909999999999998</v>
      </c>
      <c r="H3">
        <v>2.31</v>
      </c>
      <c r="I3">
        <v>9565467</v>
      </c>
      <c r="J3">
        <v>77573</v>
      </c>
      <c r="K3">
        <v>6.7903536414565826</v>
      </c>
      <c r="L3">
        <v>199277</v>
      </c>
      <c r="M3">
        <v>2.568896394364018</v>
      </c>
      <c r="N3">
        <f t="shared" ref="N3:N38" si="1">K3*M3</f>
        <v>17.443714985994394</v>
      </c>
      <c r="O3">
        <f t="shared" ref="O3:O38" si="2">(H3-1)/(K3*M3-1)</f>
        <v>7.9665696049570703E-2</v>
      </c>
      <c r="P3">
        <f t="shared" ref="P3:P38" si="3">C3*(1-C3)*H3</f>
        <v>0.10991209128900001</v>
      </c>
      <c r="Q3">
        <f t="shared" ref="Q3:Q38" si="4">(((0.15^2)*(C3^2))/(0.95)^2)+((C3*(1-C3)*H3)/I3)</f>
        <v>6.2562938986148061E-5</v>
      </c>
      <c r="R3">
        <f t="shared" ref="R3:R38" si="5">1/(1-0.2)</f>
        <v>1.25</v>
      </c>
      <c r="S3" s="3">
        <f t="shared" si="0"/>
        <v>1756.8242967827236</v>
      </c>
      <c r="T3" s="2">
        <f t="shared" ref="T3:T38" si="6">ROUNDUP(S3,0)</f>
        <v>1757</v>
      </c>
      <c r="U3">
        <f t="shared" ref="U3:U38" si="7">ROUNDUP(T3/M3,0)</f>
        <v>684</v>
      </c>
      <c r="V3">
        <f t="shared" ref="V3:V38" si="8">ROUNDUP(U3/7,0)</f>
        <v>98</v>
      </c>
      <c r="W3" s="7">
        <f t="shared" ref="W3:W38" si="9">C3*0.15</f>
        <v>7.5135000000000002E-3</v>
      </c>
      <c r="X3" s="9">
        <f t="shared" ref="X3:X38" si="10">C3-1.96*W3</f>
        <v>3.5363539999999999E-2</v>
      </c>
      <c r="Y3" s="9">
        <f t="shared" ref="Y3:Y38" si="11">C3+1.96*W3</f>
        <v>6.4816460000000006E-2</v>
      </c>
      <c r="Z3" s="11">
        <f t="shared" ref="Z3:Z4" si="12">Y3-X3</f>
        <v>2.9452920000000007E-2</v>
      </c>
      <c r="AA3" s="3">
        <f t="shared" ref="AA3:AA38" si="13">3/(2*1.95*C3)</f>
        <v>15.356972833515059</v>
      </c>
      <c r="AB3">
        <f t="shared" ref="AB3:AB38" si="14">AA3/1.95</f>
        <v>7.875370683853876</v>
      </c>
    </row>
    <row r="4" spans="1:28" x14ac:dyDescent="0.25">
      <c r="A4" t="s">
        <v>15</v>
      </c>
      <c r="B4">
        <v>92711</v>
      </c>
      <c r="C4" s="12">
        <v>1.8319999999999999E-2</v>
      </c>
      <c r="D4">
        <v>4.4999999999999998E-2</v>
      </c>
      <c r="E4">
        <v>8.3000000000000004E-2</v>
      </c>
      <c r="F4">
        <v>1.67</v>
      </c>
      <c r="G4">
        <v>1.994</v>
      </c>
      <c r="H4">
        <v>1.9119999999999999</v>
      </c>
      <c r="I4">
        <v>3009391</v>
      </c>
      <c r="J4">
        <v>27140</v>
      </c>
      <c r="K4">
        <v>6.7328206400396926</v>
      </c>
      <c r="L4">
        <v>70637</v>
      </c>
      <c r="M4">
        <v>2.602689756816507</v>
      </c>
      <c r="N4">
        <f t="shared" si="1"/>
        <v>17.523443314314068</v>
      </c>
      <c r="O4">
        <f t="shared" si="2"/>
        <v>5.5194306819205466E-2</v>
      </c>
      <c r="P4">
        <f t="shared" si="3"/>
        <v>3.4386129971199997E-2</v>
      </c>
      <c r="Q4">
        <f t="shared" si="4"/>
        <v>8.3787437267969144E-6</v>
      </c>
      <c r="R4">
        <f t="shared" si="5"/>
        <v>1.25</v>
      </c>
      <c r="S4" s="3">
        <f t="shared" si="0"/>
        <v>4103.9720383410477</v>
      </c>
      <c r="T4" s="2">
        <f t="shared" si="6"/>
        <v>4104</v>
      </c>
      <c r="U4">
        <f t="shared" si="7"/>
        <v>1577</v>
      </c>
      <c r="V4">
        <f t="shared" si="8"/>
        <v>226</v>
      </c>
      <c r="W4" s="7">
        <f t="shared" si="9"/>
        <v>2.748E-3</v>
      </c>
      <c r="X4" s="9">
        <f t="shared" si="10"/>
        <v>1.293392E-2</v>
      </c>
      <c r="Y4" s="9">
        <f t="shared" si="11"/>
        <v>2.3706079999999997E-2</v>
      </c>
      <c r="Z4" s="11">
        <f t="shared" si="12"/>
        <v>1.0772159999999998E-2</v>
      </c>
      <c r="AA4" s="3">
        <f t="shared" si="13"/>
        <v>41.988579106483037</v>
      </c>
      <c r="AB4">
        <f t="shared" si="14"/>
        <v>21.532604669991301</v>
      </c>
    </row>
    <row r="5" spans="1:28" x14ac:dyDescent="0.25">
      <c r="A5" s="4" t="s">
        <v>16</v>
      </c>
      <c r="B5" s="4">
        <v>30407</v>
      </c>
      <c r="C5" s="13">
        <v>3.2210000000000003E-2</v>
      </c>
      <c r="D5" s="4">
        <v>6.9000000000000006E-2</v>
      </c>
      <c r="E5" s="4">
        <v>0.221</v>
      </c>
      <c r="F5" s="4">
        <v>2.7869999999999999</v>
      </c>
      <c r="G5" s="4">
        <v>3.6549999999999998</v>
      </c>
      <c r="H5" s="4">
        <v>2.6019999999999999</v>
      </c>
      <c r="I5" s="4">
        <v>607163</v>
      </c>
      <c r="J5" s="4">
        <v>9508</v>
      </c>
      <c r="K5" s="4">
        <v>6.8304597701149428</v>
      </c>
      <c r="L5" s="4">
        <v>24602</v>
      </c>
      <c r="M5" s="4">
        <v>2.5875052587294909</v>
      </c>
      <c r="N5">
        <f t="shared" si="1"/>
        <v>17.673850574712645</v>
      </c>
      <c r="O5" s="4">
        <f t="shared" si="2"/>
        <v>9.6078586816027559E-2</v>
      </c>
      <c r="P5" s="4">
        <f t="shared" si="3"/>
        <v>8.1110886371800001E-2</v>
      </c>
      <c r="Q5" s="4">
        <f t="shared" si="4"/>
        <v>2.5998844539676413E-5</v>
      </c>
      <c r="R5" s="4">
        <f t="shared" si="5"/>
        <v>1.25</v>
      </c>
      <c r="S5" s="5">
        <f t="shared" si="0"/>
        <v>3119.7881216612532</v>
      </c>
      <c r="T5" s="6">
        <f t="shared" si="6"/>
        <v>3120</v>
      </c>
      <c r="U5" s="4">
        <f t="shared" si="7"/>
        <v>1206</v>
      </c>
      <c r="V5" s="4">
        <f t="shared" si="8"/>
        <v>173</v>
      </c>
      <c r="W5" s="8">
        <f>C5*0.2388</f>
        <v>7.6917480000000009E-3</v>
      </c>
      <c r="X5" s="9">
        <f t="shared" si="10"/>
        <v>1.7134173920000002E-2</v>
      </c>
      <c r="Y5" s="9">
        <f t="shared" si="11"/>
        <v>4.7285826080000003E-2</v>
      </c>
      <c r="Z5" s="11">
        <f>Y5-X5</f>
        <v>3.015165216E-2</v>
      </c>
      <c r="AA5" s="3">
        <f t="shared" si="13"/>
        <v>23.881737635230337</v>
      </c>
      <c r="AB5">
        <f t="shared" si="14"/>
        <v>12.247044941143763</v>
      </c>
    </row>
    <row r="6" spans="1:28" x14ac:dyDescent="0.25">
      <c r="A6" t="s">
        <v>17</v>
      </c>
      <c r="B6">
        <v>5827</v>
      </c>
      <c r="C6" s="12">
        <v>7.4799999999999997E-3</v>
      </c>
      <c r="D6">
        <v>0.182</v>
      </c>
      <c r="E6">
        <v>0.13600000000000001</v>
      </c>
      <c r="F6">
        <v>0.48199999999999998</v>
      </c>
      <c r="G6">
        <v>1.014</v>
      </c>
      <c r="H6">
        <v>0.71599999999999997</v>
      </c>
      <c r="I6">
        <v>148479</v>
      </c>
      <c r="J6">
        <v>1906</v>
      </c>
      <c r="K6">
        <v>6.6180555555555554</v>
      </c>
      <c r="L6">
        <v>4723</v>
      </c>
      <c r="M6">
        <v>2.477964323189926</v>
      </c>
      <c r="N6">
        <f t="shared" si="1"/>
        <v>16.39930555555555</v>
      </c>
      <c r="O6">
        <f t="shared" si="2"/>
        <v>-1.8442390078917709E-2</v>
      </c>
      <c r="P6">
        <f t="shared" si="3"/>
        <v>5.3156195135999999E-3</v>
      </c>
      <c r="Q6">
        <f t="shared" si="4"/>
        <v>1.4306857988537394E-6</v>
      </c>
      <c r="R6">
        <f t="shared" si="5"/>
        <v>1.25</v>
      </c>
      <c r="S6" s="3">
        <f t="shared" si="0"/>
        <v>3715.4345963724923</v>
      </c>
      <c r="T6" s="2">
        <f t="shared" si="6"/>
        <v>3716</v>
      </c>
      <c r="U6">
        <f t="shared" si="7"/>
        <v>1500</v>
      </c>
      <c r="V6">
        <f t="shared" si="8"/>
        <v>215</v>
      </c>
      <c r="W6" s="7">
        <f>C6*0.2742</f>
        <v>2.0510159999999997E-3</v>
      </c>
      <c r="X6" s="9">
        <f t="shared" si="10"/>
        <v>3.4600086400000006E-3</v>
      </c>
      <c r="Y6" s="9">
        <f t="shared" si="11"/>
        <v>1.149999136E-2</v>
      </c>
      <c r="Z6" s="11">
        <f t="shared" ref="Z6:Z38" si="15">Y6-X6</f>
        <v>8.0399827199999982E-3</v>
      </c>
      <c r="AA6" s="3">
        <f>0.8/(2*1.95*C6)</f>
        <v>27.423556835321545</v>
      </c>
      <c r="AB6">
        <f>AA6/1.95</f>
        <v>14.063362479652074</v>
      </c>
    </row>
    <row r="7" spans="1:28" x14ac:dyDescent="0.25">
      <c r="A7" t="s">
        <v>18</v>
      </c>
      <c r="B7">
        <v>6212</v>
      </c>
      <c r="C7" s="12">
        <v>3.6659999999999998E-2</v>
      </c>
      <c r="D7">
        <v>0.107</v>
      </c>
      <c r="E7">
        <v>0.39200000000000002</v>
      </c>
      <c r="F7">
        <v>2.8980000000000001</v>
      </c>
      <c r="G7">
        <v>4.4340000000000002</v>
      </c>
      <c r="H7">
        <v>1.4530000000000001</v>
      </c>
      <c r="I7">
        <v>166568</v>
      </c>
      <c r="J7">
        <v>1946</v>
      </c>
      <c r="K7">
        <v>6.7569444444444446</v>
      </c>
      <c r="L7">
        <v>4847</v>
      </c>
      <c r="M7">
        <v>2.4907502569373068</v>
      </c>
      <c r="N7">
        <f t="shared" si="1"/>
        <v>16.829861111111107</v>
      </c>
      <c r="O7">
        <f t="shared" si="2"/>
        <v>2.8616801930247873E-2</v>
      </c>
      <c r="P7">
        <f t="shared" si="3"/>
        <v>5.1314212513199994E-2</v>
      </c>
      <c r="Q7">
        <f t="shared" si="4"/>
        <v>3.3813885933677144E-5</v>
      </c>
      <c r="R7">
        <f t="shared" si="5"/>
        <v>1.25</v>
      </c>
      <c r="S7" s="3">
        <f t="shared" si="0"/>
        <v>1517.5485187904208</v>
      </c>
      <c r="T7" s="2">
        <f t="shared" si="6"/>
        <v>1518</v>
      </c>
      <c r="U7">
        <f t="shared" si="7"/>
        <v>610</v>
      </c>
      <c r="V7">
        <f t="shared" si="8"/>
        <v>88</v>
      </c>
      <c r="W7" s="7">
        <f t="shared" si="9"/>
        <v>5.4989999999999995E-3</v>
      </c>
      <c r="X7" s="9">
        <f t="shared" si="10"/>
        <v>2.5881959999999999E-2</v>
      </c>
      <c r="Y7" s="9">
        <f t="shared" si="11"/>
        <v>4.7438040000000001E-2</v>
      </c>
      <c r="Z7" s="11">
        <f t="shared" si="15"/>
        <v>2.1556080000000002E-2</v>
      </c>
      <c r="AA7" s="3">
        <f t="shared" si="13"/>
        <v>20.982836040119185</v>
      </c>
      <c r="AB7">
        <f t="shared" si="14"/>
        <v>10.760428738522659</v>
      </c>
    </row>
    <row r="8" spans="1:28" x14ac:dyDescent="0.25">
      <c r="A8" t="s">
        <v>19</v>
      </c>
      <c r="B8">
        <v>7411</v>
      </c>
      <c r="C8" s="12">
        <v>4.5759999999999995E-2</v>
      </c>
      <c r="D8">
        <v>9.1999999999999998E-2</v>
      </c>
      <c r="E8">
        <v>0.42099999999999999</v>
      </c>
      <c r="F8">
        <v>3.7509999999999999</v>
      </c>
      <c r="G8">
        <v>5.4020000000000001</v>
      </c>
      <c r="H8">
        <v>1.5589999999999999</v>
      </c>
      <c r="I8">
        <v>131786</v>
      </c>
      <c r="J8">
        <v>2302</v>
      </c>
      <c r="K8">
        <v>6.8511904761904763</v>
      </c>
      <c r="L8">
        <v>5907</v>
      </c>
      <c r="M8">
        <v>2.566029539530843</v>
      </c>
      <c r="N8">
        <f t="shared" si="1"/>
        <v>17.580357142857146</v>
      </c>
      <c r="O8">
        <f t="shared" si="2"/>
        <v>3.3714593430263853E-2</v>
      </c>
      <c r="P8">
        <f t="shared" si="3"/>
        <v>6.8075328921599995E-2</v>
      </c>
      <c r="Q8">
        <f t="shared" si="4"/>
        <v>5.2720987342383236E-5</v>
      </c>
      <c r="R8">
        <f t="shared" si="5"/>
        <v>1.25</v>
      </c>
      <c r="S8" s="3">
        <f t="shared" si="0"/>
        <v>1291.2377471139118</v>
      </c>
      <c r="T8" s="2">
        <f t="shared" si="6"/>
        <v>1292</v>
      </c>
      <c r="U8">
        <f t="shared" si="7"/>
        <v>504</v>
      </c>
      <c r="V8">
        <f t="shared" si="8"/>
        <v>72</v>
      </c>
      <c r="W8" s="7">
        <f t="shared" si="9"/>
        <v>6.8639999999999994E-3</v>
      </c>
      <c r="X8" s="9">
        <f t="shared" si="10"/>
        <v>3.2306559999999998E-2</v>
      </c>
      <c r="Y8" s="9">
        <f t="shared" si="11"/>
        <v>5.9213439999999992E-2</v>
      </c>
      <c r="Z8" s="11">
        <f t="shared" si="15"/>
        <v>2.6906879999999994E-2</v>
      </c>
      <c r="AA8" s="3">
        <f t="shared" si="13"/>
        <v>16.810112963959121</v>
      </c>
      <c r="AB8">
        <f t="shared" si="14"/>
        <v>8.6205707507482678</v>
      </c>
    </row>
    <row r="9" spans="1:28" x14ac:dyDescent="0.25">
      <c r="A9" t="s">
        <v>20</v>
      </c>
      <c r="B9">
        <v>6124</v>
      </c>
      <c r="C9" s="12">
        <v>1.9009999999999999E-2</v>
      </c>
      <c r="D9">
        <v>0.16</v>
      </c>
      <c r="E9">
        <v>0.30399999999999999</v>
      </c>
      <c r="F9">
        <v>1.3049999999999999</v>
      </c>
      <c r="G9">
        <v>2.496</v>
      </c>
      <c r="H9">
        <v>1.9590000000000001</v>
      </c>
      <c r="I9">
        <v>344988</v>
      </c>
      <c r="J9">
        <v>1936</v>
      </c>
      <c r="K9">
        <v>6.7222222222222223</v>
      </c>
      <c r="L9">
        <v>4779</v>
      </c>
      <c r="M9">
        <v>2.46849173553719</v>
      </c>
      <c r="N9">
        <f t="shared" si="1"/>
        <v>16.59375</v>
      </c>
      <c r="O9">
        <f t="shared" si="2"/>
        <v>6.149899799599199E-2</v>
      </c>
      <c r="P9">
        <f t="shared" si="3"/>
        <v>3.6532646384100004E-2</v>
      </c>
      <c r="Q9">
        <f t="shared" si="4"/>
        <v>9.115371589253562E-6</v>
      </c>
      <c r="R9">
        <f t="shared" si="5"/>
        <v>1.25</v>
      </c>
      <c r="S9" s="3">
        <f t="shared" si="0"/>
        <v>4007.8065964057514</v>
      </c>
      <c r="T9" s="2">
        <f t="shared" si="6"/>
        <v>4008</v>
      </c>
      <c r="U9">
        <f t="shared" si="7"/>
        <v>1624</v>
      </c>
      <c r="V9">
        <f t="shared" si="8"/>
        <v>232</v>
      </c>
      <c r="W9" s="7">
        <f t="shared" si="9"/>
        <v>2.8514999999999999E-3</v>
      </c>
      <c r="X9" s="9">
        <f t="shared" si="10"/>
        <v>1.3421059999999999E-2</v>
      </c>
      <c r="Y9" s="9">
        <f t="shared" si="11"/>
        <v>2.459894E-2</v>
      </c>
      <c r="Z9" s="11">
        <f t="shared" si="15"/>
        <v>1.1177880000000001E-2</v>
      </c>
      <c r="AA9" s="3">
        <f t="shared" si="13"/>
        <v>40.464532836968402</v>
      </c>
      <c r="AB9">
        <f t="shared" si="14"/>
        <v>20.751042480496618</v>
      </c>
    </row>
    <row r="10" spans="1:28" x14ac:dyDescent="0.25">
      <c r="A10" t="s">
        <v>21</v>
      </c>
      <c r="B10">
        <v>5712</v>
      </c>
      <c r="C10" s="12">
        <v>2.0059999999999998E-2</v>
      </c>
      <c r="D10">
        <v>0.11899999999999999</v>
      </c>
      <c r="E10">
        <v>0.23799999999999999</v>
      </c>
      <c r="F10">
        <v>1.54</v>
      </c>
      <c r="G10">
        <v>2.4729999999999999</v>
      </c>
      <c r="H10">
        <v>1.0740000000000001</v>
      </c>
      <c r="I10">
        <v>356943</v>
      </c>
      <c r="J10">
        <v>1930</v>
      </c>
      <c r="K10">
        <v>6.7013888888888893</v>
      </c>
      <c r="L10">
        <v>4671</v>
      </c>
      <c r="M10">
        <v>2.42020725388601</v>
      </c>
      <c r="N10">
        <f t="shared" si="1"/>
        <v>16.21875</v>
      </c>
      <c r="O10">
        <f t="shared" si="2"/>
        <v>4.8624229979466159E-3</v>
      </c>
      <c r="P10">
        <f t="shared" si="3"/>
        <v>2.1112258533599999E-2</v>
      </c>
      <c r="Q10">
        <f t="shared" si="4"/>
        <v>1.0091370137473311E-5</v>
      </c>
      <c r="R10">
        <f t="shared" si="5"/>
        <v>1.25</v>
      </c>
      <c r="S10" s="3">
        <f t="shared" si="0"/>
        <v>2092.1102135776096</v>
      </c>
      <c r="T10" s="2">
        <f t="shared" si="6"/>
        <v>2093</v>
      </c>
      <c r="U10">
        <f t="shared" si="7"/>
        <v>865</v>
      </c>
      <c r="V10">
        <f t="shared" si="8"/>
        <v>124</v>
      </c>
      <c r="W10" s="7">
        <f t="shared" si="9"/>
        <v>3.0089999999999995E-3</v>
      </c>
      <c r="X10" s="9">
        <f t="shared" si="10"/>
        <v>1.4162359999999999E-2</v>
      </c>
      <c r="Y10" s="9">
        <f t="shared" si="11"/>
        <v>2.5957639999999997E-2</v>
      </c>
      <c r="Z10" s="11">
        <f t="shared" si="15"/>
        <v>1.1795279999999998E-2</v>
      </c>
      <c r="AA10" s="3">
        <f t="shared" si="13"/>
        <v>38.346498964644539</v>
      </c>
      <c r="AB10">
        <f t="shared" si="14"/>
        <v>19.664871263920276</v>
      </c>
    </row>
    <row r="11" spans="1:28" x14ac:dyDescent="0.25">
      <c r="A11" t="s">
        <v>22</v>
      </c>
      <c r="B11">
        <v>36493</v>
      </c>
      <c r="C11" s="12">
        <v>5.4299999999999994E-2</v>
      </c>
      <c r="D11">
        <v>4.4999999999999998E-2</v>
      </c>
      <c r="E11">
        <v>0.24399999999999999</v>
      </c>
      <c r="F11">
        <v>4.952</v>
      </c>
      <c r="G11">
        <v>5.9089999999999998</v>
      </c>
      <c r="H11">
        <v>2.2679999999999998</v>
      </c>
      <c r="I11">
        <v>532598</v>
      </c>
      <c r="J11">
        <v>11179</v>
      </c>
      <c r="K11">
        <v>6.8498774509803919</v>
      </c>
      <c r="L11">
        <v>28817</v>
      </c>
      <c r="M11">
        <v>2.577779765631989</v>
      </c>
      <c r="N11">
        <f t="shared" si="1"/>
        <v>17.657475490196081</v>
      </c>
      <c r="O11">
        <f t="shared" si="2"/>
        <v>7.6121979032554687E-2</v>
      </c>
      <c r="P11">
        <f t="shared" si="3"/>
        <v>0.11646522467999998</v>
      </c>
      <c r="Q11">
        <f t="shared" si="4"/>
        <v>7.3726734734595029E-5</v>
      </c>
      <c r="R11">
        <f t="shared" si="5"/>
        <v>1.25</v>
      </c>
      <c r="S11" s="3">
        <f t="shared" si="0"/>
        <v>1579.6878174417595</v>
      </c>
      <c r="T11" s="2">
        <f t="shared" si="6"/>
        <v>1580</v>
      </c>
      <c r="U11">
        <f t="shared" si="7"/>
        <v>613</v>
      </c>
      <c r="V11">
        <f t="shared" si="8"/>
        <v>88</v>
      </c>
      <c r="W11" s="7">
        <f t="shared" si="9"/>
        <v>8.1449999999999995E-3</v>
      </c>
      <c r="X11" s="9">
        <f t="shared" si="10"/>
        <v>3.8335799999999996E-2</v>
      </c>
      <c r="Y11" s="9">
        <f t="shared" si="11"/>
        <v>7.0264199999999999E-2</v>
      </c>
      <c r="Z11" s="11">
        <f t="shared" si="15"/>
        <v>3.1928400000000003E-2</v>
      </c>
      <c r="AA11" s="3">
        <f t="shared" si="13"/>
        <v>14.166312508853947</v>
      </c>
      <c r="AB11">
        <f t="shared" si="14"/>
        <v>7.264775645566127</v>
      </c>
    </row>
    <row r="12" spans="1:28" x14ac:dyDescent="0.25">
      <c r="A12" t="s">
        <v>23</v>
      </c>
      <c r="B12">
        <v>21802</v>
      </c>
      <c r="C12" s="12">
        <v>9.330999999999999E-2</v>
      </c>
      <c r="D12">
        <v>4.2000000000000003E-2</v>
      </c>
      <c r="E12">
        <v>0.39500000000000002</v>
      </c>
      <c r="F12">
        <v>8.5579999999999998</v>
      </c>
      <c r="G12">
        <v>10.103999999999999</v>
      </c>
      <c r="H12">
        <v>1.732</v>
      </c>
      <c r="I12">
        <v>374902</v>
      </c>
      <c r="J12">
        <v>6135</v>
      </c>
      <c r="K12">
        <v>6.7269736842105274</v>
      </c>
      <c r="L12">
        <v>16053</v>
      </c>
      <c r="M12">
        <v>2.616625916870416</v>
      </c>
      <c r="N12">
        <f t="shared" si="1"/>
        <v>17.601973684210531</v>
      </c>
      <c r="O12">
        <f t="shared" si="2"/>
        <v>4.4091143253417855E-2</v>
      </c>
      <c r="P12">
        <f t="shared" si="3"/>
        <v>0.14653281843479998</v>
      </c>
      <c r="Q12">
        <f t="shared" si="4"/>
        <v>2.1745679787752589E-4</v>
      </c>
      <c r="R12">
        <f t="shared" si="5"/>
        <v>1.25</v>
      </c>
      <c r="S12" s="3">
        <f t="shared" si="0"/>
        <v>673.84795446739224</v>
      </c>
      <c r="T12" s="2">
        <f t="shared" si="6"/>
        <v>674</v>
      </c>
      <c r="U12">
        <f t="shared" si="7"/>
        <v>258</v>
      </c>
      <c r="V12">
        <f t="shared" si="8"/>
        <v>37</v>
      </c>
      <c r="W12" s="7">
        <f t="shared" si="9"/>
        <v>1.3996499999999999E-2</v>
      </c>
      <c r="X12" s="9">
        <f t="shared" si="10"/>
        <v>6.5876859999999995E-2</v>
      </c>
      <c r="Y12" s="9">
        <f t="shared" si="11"/>
        <v>0.12074313999999998</v>
      </c>
      <c r="Z12" s="11">
        <f t="shared" si="15"/>
        <v>5.486627999999999E-2</v>
      </c>
      <c r="AA12" s="3">
        <f t="shared" si="13"/>
        <v>8.2438191965573822</v>
      </c>
      <c r="AB12">
        <f t="shared" si="14"/>
        <v>4.2275995879781449</v>
      </c>
    </row>
    <row r="13" spans="1:28" x14ac:dyDescent="0.25">
      <c r="A13" t="s">
        <v>24</v>
      </c>
      <c r="B13">
        <v>44034</v>
      </c>
      <c r="C13" s="12">
        <v>2.9159999999999998E-2</v>
      </c>
      <c r="D13">
        <v>5.3999999999999999E-2</v>
      </c>
      <c r="E13">
        <v>0.158</v>
      </c>
      <c r="F13">
        <v>2.6059999999999999</v>
      </c>
      <c r="G13">
        <v>3.226</v>
      </c>
      <c r="H13">
        <v>1.7989999999999999</v>
      </c>
      <c r="I13">
        <v>3246864</v>
      </c>
      <c r="J13">
        <v>12660</v>
      </c>
      <c r="K13">
        <v>6.7628205128205128</v>
      </c>
      <c r="L13">
        <v>34365</v>
      </c>
      <c r="M13">
        <v>2.7144549763033181</v>
      </c>
      <c r="N13">
        <f t="shared" si="1"/>
        <v>18.357371794871799</v>
      </c>
      <c r="O13">
        <f t="shared" si="2"/>
        <v>4.6032314652386649E-2</v>
      </c>
      <c r="P13">
        <f t="shared" si="3"/>
        <v>5.0929140225599995E-2</v>
      </c>
      <c r="Q13">
        <f t="shared" si="4"/>
        <v>2.1214440210758044E-5</v>
      </c>
      <c r="R13">
        <f t="shared" si="5"/>
        <v>1.25</v>
      </c>
      <c r="S13" s="3">
        <f t="shared" si="0"/>
        <v>2400.6827292936696</v>
      </c>
      <c r="T13" s="2">
        <f t="shared" si="6"/>
        <v>2401</v>
      </c>
      <c r="U13">
        <f t="shared" si="7"/>
        <v>885</v>
      </c>
      <c r="V13">
        <f t="shared" si="8"/>
        <v>127</v>
      </c>
      <c r="W13" s="7">
        <f t="shared" si="9"/>
        <v>4.3739999999999994E-3</v>
      </c>
      <c r="X13" s="9">
        <f t="shared" si="10"/>
        <v>2.0586960000000001E-2</v>
      </c>
      <c r="Y13" s="9">
        <f t="shared" si="11"/>
        <v>3.7733039999999995E-2</v>
      </c>
      <c r="Z13" s="11">
        <f t="shared" si="15"/>
        <v>1.7146079999999994E-2</v>
      </c>
      <c r="AA13" s="3">
        <f t="shared" si="13"/>
        <v>26.37965600928564</v>
      </c>
      <c r="AB13">
        <f t="shared" si="14"/>
        <v>13.528028722710586</v>
      </c>
    </row>
    <row r="14" spans="1:28" x14ac:dyDescent="0.25">
      <c r="A14" t="s">
        <v>25</v>
      </c>
      <c r="B14">
        <v>16337</v>
      </c>
      <c r="C14" s="12">
        <v>5.8129999999999994E-2</v>
      </c>
      <c r="D14">
        <v>5.8999999999999997E-2</v>
      </c>
      <c r="E14">
        <v>0.34399999999999997</v>
      </c>
      <c r="F14">
        <v>5.1379999999999999</v>
      </c>
      <c r="G14">
        <v>6.4870000000000001</v>
      </c>
      <c r="H14">
        <v>1.857</v>
      </c>
      <c r="I14">
        <v>357613</v>
      </c>
      <c r="J14">
        <v>4926</v>
      </c>
      <c r="K14">
        <v>6.8416666666666668</v>
      </c>
      <c r="L14">
        <v>13149</v>
      </c>
      <c r="M14">
        <v>2.6693057247259442</v>
      </c>
      <c r="N14">
        <f t="shared" si="1"/>
        <v>18.262500000000003</v>
      </c>
      <c r="O14">
        <f t="shared" si="2"/>
        <v>4.9645184648805206E-2</v>
      </c>
      <c r="P14">
        <f t="shared" si="3"/>
        <v>0.10167242705669999</v>
      </c>
      <c r="Q14">
        <f t="shared" si="4"/>
        <v>8.4527721551397786E-5</v>
      </c>
      <c r="R14">
        <f t="shared" si="5"/>
        <v>1.25</v>
      </c>
      <c r="S14" s="3">
        <f t="shared" si="0"/>
        <v>1202.8293817771632</v>
      </c>
      <c r="T14" s="2">
        <f t="shared" si="6"/>
        <v>1203</v>
      </c>
      <c r="U14">
        <f t="shared" si="7"/>
        <v>451</v>
      </c>
      <c r="V14">
        <f t="shared" si="8"/>
        <v>65</v>
      </c>
      <c r="W14" s="7">
        <f t="shared" si="9"/>
        <v>8.7194999999999981E-3</v>
      </c>
      <c r="X14" s="9">
        <f t="shared" si="10"/>
        <v>4.1039779999999998E-2</v>
      </c>
      <c r="Y14" s="9">
        <f t="shared" si="11"/>
        <v>7.522021999999999E-2</v>
      </c>
      <c r="Z14" s="11">
        <f t="shared" si="15"/>
        <v>3.4180439999999992E-2</v>
      </c>
      <c r="AA14" s="3">
        <f t="shared" si="13"/>
        <v>13.232939432836218</v>
      </c>
      <c r="AB14">
        <f t="shared" si="14"/>
        <v>6.7861227860698561</v>
      </c>
    </row>
    <row r="15" spans="1:28" x14ac:dyDescent="0.25">
      <c r="A15" t="s">
        <v>26</v>
      </c>
      <c r="B15">
        <v>11376</v>
      </c>
      <c r="C15" s="12">
        <v>3.6859999999999997E-2</v>
      </c>
      <c r="D15">
        <v>7.0999999999999994E-2</v>
      </c>
      <c r="E15">
        <v>0.26200000000000001</v>
      </c>
      <c r="F15">
        <v>3.1720000000000002</v>
      </c>
      <c r="G15">
        <v>4.2</v>
      </c>
      <c r="H15">
        <v>1.2470000000000001</v>
      </c>
      <c r="I15">
        <v>366155</v>
      </c>
      <c r="J15">
        <v>3559</v>
      </c>
      <c r="K15">
        <v>6.7405303030303028</v>
      </c>
      <c r="L15">
        <v>9192</v>
      </c>
      <c r="M15">
        <v>2.58274796291093</v>
      </c>
      <c r="N15">
        <f t="shared" si="1"/>
        <v>17.409090909090907</v>
      </c>
      <c r="O15">
        <f t="shared" si="2"/>
        <v>1.5052631578947378E-2</v>
      </c>
      <c r="P15">
        <f t="shared" si="3"/>
        <v>4.4270171478800004E-2</v>
      </c>
      <c r="Q15">
        <f t="shared" si="4"/>
        <v>3.3993305549504438E-5</v>
      </c>
      <c r="R15">
        <f t="shared" si="5"/>
        <v>1.25</v>
      </c>
      <c r="S15" s="3">
        <f t="shared" si="0"/>
        <v>1302.3202881617196</v>
      </c>
      <c r="T15" s="2">
        <f t="shared" si="6"/>
        <v>1303</v>
      </c>
      <c r="U15">
        <f t="shared" si="7"/>
        <v>505</v>
      </c>
      <c r="V15">
        <f t="shared" si="8"/>
        <v>73</v>
      </c>
      <c r="W15" s="7">
        <f t="shared" si="9"/>
        <v>5.5289999999999992E-3</v>
      </c>
      <c r="X15" s="9">
        <f t="shared" si="10"/>
        <v>2.6023159999999997E-2</v>
      </c>
      <c r="Y15" s="9">
        <f t="shared" si="11"/>
        <v>4.7696839999999997E-2</v>
      </c>
      <c r="Z15" s="11">
        <f t="shared" si="15"/>
        <v>2.1673680000000001E-2</v>
      </c>
      <c r="AA15" s="3">
        <f t="shared" si="13"/>
        <v>20.868984515213491</v>
      </c>
      <c r="AB15">
        <f t="shared" si="14"/>
        <v>10.702043341135123</v>
      </c>
    </row>
    <row r="16" spans="1:28" x14ac:dyDescent="0.25">
      <c r="A16" t="s">
        <v>27</v>
      </c>
      <c r="B16">
        <v>6431</v>
      </c>
      <c r="C16" s="12">
        <v>2.044E-2</v>
      </c>
      <c r="D16">
        <v>0.16400000000000001</v>
      </c>
      <c r="E16">
        <v>0.33600000000000002</v>
      </c>
      <c r="F16">
        <v>1.387</v>
      </c>
      <c r="G16">
        <v>2.702</v>
      </c>
      <c r="H16">
        <v>1.6140000000000001</v>
      </c>
      <c r="I16">
        <v>645471</v>
      </c>
      <c r="J16">
        <v>1933</v>
      </c>
      <c r="K16">
        <v>6.7118055555555554</v>
      </c>
      <c r="L16">
        <v>5028</v>
      </c>
      <c r="M16">
        <v>2.6011381272633209</v>
      </c>
      <c r="N16">
        <f t="shared" si="1"/>
        <v>17.458333333333332</v>
      </c>
      <c r="O16">
        <f t="shared" si="2"/>
        <v>3.7306329113924057E-2</v>
      </c>
      <c r="P16">
        <f t="shared" si="3"/>
        <v>3.2315841129600002E-2</v>
      </c>
      <c r="Q16">
        <f t="shared" si="4"/>
        <v>1.0465972445005858E-5</v>
      </c>
      <c r="R16">
        <f t="shared" si="5"/>
        <v>1.25</v>
      </c>
      <c r="S16" s="3">
        <f t="shared" si="0"/>
        <v>3087.7055428347167</v>
      </c>
      <c r="T16" s="2">
        <f t="shared" si="6"/>
        <v>3088</v>
      </c>
      <c r="U16">
        <f t="shared" si="7"/>
        <v>1188</v>
      </c>
      <c r="V16">
        <f t="shared" si="8"/>
        <v>170</v>
      </c>
      <c r="W16" s="7">
        <f t="shared" si="9"/>
        <v>3.0659999999999997E-3</v>
      </c>
      <c r="X16" s="9">
        <f t="shared" si="10"/>
        <v>1.4430640000000002E-2</v>
      </c>
      <c r="Y16" s="9">
        <f t="shared" si="11"/>
        <v>2.6449359999999998E-2</v>
      </c>
      <c r="Z16" s="11">
        <f t="shared" si="15"/>
        <v>1.2018719999999997E-2</v>
      </c>
      <c r="AA16" s="3">
        <f t="shared" si="13"/>
        <v>37.633599277434897</v>
      </c>
      <c r="AB16">
        <f t="shared" si="14"/>
        <v>19.299281680735845</v>
      </c>
    </row>
    <row r="17" spans="1:28" x14ac:dyDescent="0.25">
      <c r="A17" t="s">
        <v>28</v>
      </c>
      <c r="B17">
        <v>7642</v>
      </c>
      <c r="C17" s="12">
        <v>1.77E-2</v>
      </c>
      <c r="D17">
        <v>0.13900000000000001</v>
      </c>
      <c r="E17">
        <v>0.246</v>
      </c>
      <c r="F17">
        <v>1.288</v>
      </c>
      <c r="G17">
        <v>2.2530000000000001</v>
      </c>
      <c r="H17">
        <v>1.19</v>
      </c>
      <c r="I17">
        <v>1177918</v>
      </c>
      <c r="J17">
        <v>2268</v>
      </c>
      <c r="K17">
        <v>6.75</v>
      </c>
      <c r="L17">
        <v>6165</v>
      </c>
      <c r="M17">
        <v>2.7182539682539679</v>
      </c>
      <c r="N17">
        <f t="shared" si="1"/>
        <v>18.348214285714285</v>
      </c>
      <c r="O17">
        <f t="shared" si="2"/>
        <v>1.0952135872362325E-2</v>
      </c>
      <c r="P17">
        <f t="shared" si="3"/>
        <v>2.0690184899999998E-2</v>
      </c>
      <c r="Q17">
        <f t="shared" si="4"/>
        <v>7.8281190635083137E-6</v>
      </c>
      <c r="R17">
        <f t="shared" si="5"/>
        <v>1.25</v>
      </c>
      <c r="S17" s="3">
        <f t="shared" si="0"/>
        <v>2643.0595564711962</v>
      </c>
      <c r="T17" s="2">
        <f t="shared" si="6"/>
        <v>2644</v>
      </c>
      <c r="U17">
        <f t="shared" si="7"/>
        <v>973</v>
      </c>
      <c r="V17">
        <f t="shared" si="8"/>
        <v>139</v>
      </c>
      <c r="W17" s="7">
        <f t="shared" si="9"/>
        <v>2.6549999999999998E-3</v>
      </c>
      <c r="X17" s="9">
        <f t="shared" si="10"/>
        <v>1.2496200000000001E-2</v>
      </c>
      <c r="Y17" s="9">
        <f t="shared" si="11"/>
        <v>2.2903800000000002E-2</v>
      </c>
      <c r="Z17" s="11">
        <f t="shared" si="15"/>
        <v>1.0407600000000001E-2</v>
      </c>
      <c r="AA17" s="3">
        <f t="shared" si="13"/>
        <v>43.459365493263803</v>
      </c>
      <c r="AB17">
        <f t="shared" si="14"/>
        <v>22.286854099109643</v>
      </c>
    </row>
    <row r="18" spans="1:28" x14ac:dyDescent="0.25">
      <c r="A18" t="s">
        <v>29</v>
      </c>
      <c r="B18">
        <v>4676</v>
      </c>
      <c r="C18" s="12">
        <v>1.2629999999999999E-2</v>
      </c>
      <c r="D18">
        <v>0.19800000000000001</v>
      </c>
      <c r="E18">
        <v>0.25</v>
      </c>
      <c r="F18">
        <v>0.77400000000000002</v>
      </c>
      <c r="G18">
        <v>1.7529999999999999</v>
      </c>
      <c r="H18">
        <v>1.228</v>
      </c>
      <c r="I18">
        <v>120586</v>
      </c>
      <c r="J18">
        <v>1285</v>
      </c>
      <c r="K18">
        <v>6.692708333333333</v>
      </c>
      <c r="L18">
        <v>3073</v>
      </c>
      <c r="M18">
        <v>2.3914396887159528</v>
      </c>
      <c r="N18">
        <f t="shared" si="1"/>
        <v>16.005208333333329</v>
      </c>
      <c r="O18">
        <f t="shared" si="2"/>
        <v>1.5194724054147868E-2</v>
      </c>
      <c r="P18">
        <f t="shared" si="3"/>
        <v>1.5313753246799998E-2</v>
      </c>
      <c r="Q18">
        <f t="shared" si="4"/>
        <v>4.103870077407652E-6</v>
      </c>
      <c r="R18">
        <f t="shared" si="5"/>
        <v>1.25</v>
      </c>
      <c r="S18" s="3">
        <f t="shared" si="0"/>
        <v>3731.5394878371608</v>
      </c>
      <c r="T18" s="2">
        <f t="shared" si="6"/>
        <v>3732</v>
      </c>
      <c r="U18">
        <f t="shared" si="7"/>
        <v>1561</v>
      </c>
      <c r="V18">
        <f t="shared" si="8"/>
        <v>223</v>
      </c>
      <c r="W18" s="7">
        <f t="shared" si="9"/>
        <v>1.8944999999999997E-3</v>
      </c>
      <c r="X18" s="9">
        <f t="shared" si="10"/>
        <v>8.9167799999999992E-3</v>
      </c>
      <c r="Y18" s="9">
        <f t="shared" si="11"/>
        <v>1.6343219999999999E-2</v>
      </c>
      <c r="Z18" s="11">
        <f t="shared" si="15"/>
        <v>7.4264399999999994E-3</v>
      </c>
      <c r="AA18" s="3">
        <f t="shared" si="13"/>
        <v>60.905049028564477</v>
      </c>
      <c r="AB18">
        <f t="shared" si="14"/>
        <v>31.233358476186911</v>
      </c>
    </row>
    <row r="19" spans="1:28" x14ac:dyDescent="0.25">
      <c r="A19" t="s">
        <v>30</v>
      </c>
      <c r="B19">
        <v>5888</v>
      </c>
      <c r="C19" s="12">
        <v>2.085E-2</v>
      </c>
      <c r="D19">
        <v>0.13700000000000001</v>
      </c>
      <c r="E19">
        <v>0.28599999999999998</v>
      </c>
      <c r="F19">
        <v>1.524</v>
      </c>
      <c r="G19">
        <v>2.6459999999999999</v>
      </c>
      <c r="H19">
        <v>1.4850000000000001</v>
      </c>
      <c r="I19">
        <v>88703</v>
      </c>
      <c r="J19">
        <v>1585</v>
      </c>
      <c r="K19">
        <v>6.6317991631799167</v>
      </c>
      <c r="L19">
        <v>4149</v>
      </c>
      <c r="M19">
        <v>2.6176656151419562</v>
      </c>
      <c r="N19">
        <f t="shared" si="1"/>
        <v>17.359832635983267</v>
      </c>
      <c r="O19">
        <f t="shared" si="2"/>
        <v>2.9645780051150896E-2</v>
      </c>
      <c r="P19">
        <f t="shared" si="3"/>
        <v>3.0316687087499999E-2</v>
      </c>
      <c r="Q19">
        <f t="shared" si="4"/>
        <v>1.1179734535584342E-5</v>
      </c>
      <c r="R19">
        <f t="shared" si="5"/>
        <v>1.25</v>
      </c>
      <c r="S19" s="3">
        <f t="shared" si="0"/>
        <v>2711.7537532759857</v>
      </c>
      <c r="T19" s="2">
        <f t="shared" si="6"/>
        <v>2712</v>
      </c>
      <c r="U19">
        <f t="shared" si="7"/>
        <v>1037</v>
      </c>
      <c r="V19">
        <f t="shared" si="8"/>
        <v>149</v>
      </c>
      <c r="W19" s="7">
        <f t="shared" si="9"/>
        <v>3.1275000000000001E-3</v>
      </c>
      <c r="X19" s="9">
        <f t="shared" si="10"/>
        <v>1.47201E-2</v>
      </c>
      <c r="Y19" s="9">
        <f t="shared" si="11"/>
        <v>2.6979900000000001E-2</v>
      </c>
      <c r="Z19" s="11">
        <f t="shared" si="15"/>
        <v>1.2259800000000001E-2</v>
      </c>
      <c r="AA19" s="3">
        <f t="shared" si="13"/>
        <v>36.893562073418188</v>
      </c>
      <c r="AB19">
        <f t="shared" si="14"/>
        <v>18.919775422265737</v>
      </c>
    </row>
    <row r="20" spans="1:28" x14ac:dyDescent="0.25">
      <c r="A20" t="s">
        <v>31</v>
      </c>
      <c r="B20">
        <v>6855</v>
      </c>
      <c r="C20" s="12">
        <v>2.666E-2</v>
      </c>
      <c r="D20">
        <v>9.9000000000000005E-2</v>
      </c>
      <c r="E20">
        <v>0.26400000000000001</v>
      </c>
      <c r="F20">
        <v>2.1480000000000001</v>
      </c>
      <c r="G20">
        <v>3.1840000000000002</v>
      </c>
      <c r="H20">
        <v>1.1100000000000001</v>
      </c>
      <c r="I20">
        <v>74594</v>
      </c>
      <c r="J20">
        <v>1928</v>
      </c>
      <c r="K20">
        <v>6.6944444444444446</v>
      </c>
      <c r="L20">
        <v>4829</v>
      </c>
      <c r="M20">
        <v>2.5046680497925311</v>
      </c>
      <c r="N20">
        <f t="shared" si="1"/>
        <v>16.767361111111111</v>
      </c>
      <c r="O20">
        <f t="shared" si="2"/>
        <v>6.9764369081700131E-3</v>
      </c>
      <c r="P20">
        <f t="shared" si="3"/>
        <v>2.8803661284000002E-2</v>
      </c>
      <c r="Q20">
        <f t="shared" si="4"/>
        <v>1.8105807814933612E-5</v>
      </c>
      <c r="R20">
        <f t="shared" si="5"/>
        <v>1.25</v>
      </c>
      <c r="S20" s="3">
        <f t="shared" si="0"/>
        <v>1590.8520392137839</v>
      </c>
      <c r="T20" s="2">
        <f t="shared" si="6"/>
        <v>1591</v>
      </c>
      <c r="U20">
        <f t="shared" si="7"/>
        <v>636</v>
      </c>
      <c r="V20">
        <f t="shared" si="8"/>
        <v>91</v>
      </c>
      <c r="W20" s="7">
        <f t="shared" si="9"/>
        <v>3.999E-3</v>
      </c>
      <c r="X20" s="9">
        <f t="shared" si="10"/>
        <v>1.8821959999999999E-2</v>
      </c>
      <c r="Y20" s="9">
        <f t="shared" si="11"/>
        <v>3.4498040000000001E-2</v>
      </c>
      <c r="Z20" s="11">
        <f t="shared" si="15"/>
        <v>1.5676080000000002E-2</v>
      </c>
      <c r="AA20" s="3">
        <f t="shared" si="13"/>
        <v>28.853367187950834</v>
      </c>
      <c r="AB20">
        <f t="shared" si="14"/>
        <v>14.796598557923504</v>
      </c>
    </row>
    <row r="21" spans="1:28" s="4" customFormat="1" x14ac:dyDescent="0.25">
      <c r="A21" s="4" t="s">
        <v>32</v>
      </c>
      <c r="B21" s="4">
        <v>47254</v>
      </c>
      <c r="C21" s="13">
        <v>7.4459999999999998E-2</v>
      </c>
      <c r="D21" s="4">
        <v>2.8000000000000001E-2</v>
      </c>
      <c r="E21" s="4">
        <v>0.20599999999999999</v>
      </c>
      <c r="F21" s="4">
        <v>7.0419999999999998</v>
      </c>
      <c r="G21" s="4">
        <v>7.851</v>
      </c>
      <c r="H21" s="4">
        <v>1.5009999999999999</v>
      </c>
      <c r="I21" s="4">
        <v>2415009</v>
      </c>
      <c r="J21" s="4">
        <v>15369</v>
      </c>
      <c r="K21" s="4">
        <v>6.8125</v>
      </c>
      <c r="L21" s="4">
        <v>38514</v>
      </c>
      <c r="M21" s="4">
        <v>2.505953542845988</v>
      </c>
      <c r="N21">
        <f t="shared" si="1"/>
        <v>17.071808510638295</v>
      </c>
      <c r="O21" s="4">
        <f t="shared" si="2"/>
        <v>3.117259639252027E-2</v>
      </c>
      <c r="P21" s="4">
        <f t="shared" si="3"/>
        <v>0.10344247830839999</v>
      </c>
      <c r="Q21" s="4">
        <f t="shared" si="4"/>
        <v>1.3826616945281325E-4</v>
      </c>
      <c r="R21" s="4">
        <f t="shared" si="5"/>
        <v>1.25</v>
      </c>
      <c r="S21" s="5">
        <f t="shared" si="0"/>
        <v>748.14019016923942</v>
      </c>
      <c r="T21" s="6">
        <f t="shared" si="6"/>
        <v>749</v>
      </c>
      <c r="U21" s="4">
        <f t="shared" si="7"/>
        <v>299</v>
      </c>
      <c r="V21" s="4">
        <f t="shared" si="8"/>
        <v>43</v>
      </c>
      <c r="W21" s="8">
        <f t="shared" si="9"/>
        <v>1.1169E-2</v>
      </c>
      <c r="X21" s="10">
        <f t="shared" si="10"/>
        <v>5.2568759999999999E-2</v>
      </c>
      <c r="Y21" s="10">
        <f t="shared" si="11"/>
        <v>9.6351240000000005E-2</v>
      </c>
      <c r="Z21" s="14">
        <f t="shared" si="15"/>
        <v>4.3782480000000006E-2</v>
      </c>
      <c r="AA21" s="5">
        <f t="shared" si="13"/>
        <v>10.33079195851154</v>
      </c>
      <c r="AB21" s="4">
        <f t="shared" si="14"/>
        <v>5.2978420300059179</v>
      </c>
    </row>
    <row r="22" spans="1:28" x14ac:dyDescent="0.25">
      <c r="A22" t="s">
        <v>33</v>
      </c>
      <c r="B22">
        <v>26259</v>
      </c>
      <c r="C22" s="12">
        <v>1.9470000000000001E-2</v>
      </c>
      <c r="D22">
        <v>0.08</v>
      </c>
      <c r="E22">
        <v>0.156</v>
      </c>
      <c r="F22">
        <v>1.641</v>
      </c>
      <c r="G22">
        <v>2.2519999999999998</v>
      </c>
      <c r="H22">
        <v>2.0470000000000002</v>
      </c>
      <c r="I22">
        <v>431840</v>
      </c>
      <c r="J22">
        <v>8854</v>
      </c>
      <c r="K22">
        <v>6.8317901234567904</v>
      </c>
      <c r="L22">
        <v>21297</v>
      </c>
      <c r="M22">
        <v>2.4053535125367072</v>
      </c>
      <c r="N22">
        <f t="shared" si="1"/>
        <v>16.432870370370374</v>
      </c>
      <c r="O22">
        <f t="shared" si="2"/>
        <v>6.7842207889605516E-2</v>
      </c>
      <c r="P22">
        <f t="shared" si="3"/>
        <v>3.9079111397700012E-2</v>
      </c>
      <c r="Q22">
        <f t="shared" si="4"/>
        <v>9.5412647825767633E-6</v>
      </c>
      <c r="R22">
        <f t="shared" si="5"/>
        <v>1.25</v>
      </c>
      <c r="S22" s="3">
        <f t="shared" si="0"/>
        <v>4095.7999058009691</v>
      </c>
      <c r="T22" s="2">
        <f t="shared" si="6"/>
        <v>4096</v>
      </c>
      <c r="U22">
        <f t="shared" si="7"/>
        <v>1703</v>
      </c>
      <c r="V22">
        <f t="shared" si="8"/>
        <v>244</v>
      </c>
      <c r="W22" s="7">
        <f t="shared" si="9"/>
        <v>2.9204999999999999E-3</v>
      </c>
      <c r="X22" s="9">
        <f t="shared" si="10"/>
        <v>1.3745820000000002E-2</v>
      </c>
      <c r="Y22" s="9">
        <f t="shared" si="11"/>
        <v>2.519418E-2</v>
      </c>
      <c r="Z22" s="11">
        <f t="shared" si="15"/>
        <v>1.1448359999999998E-2</v>
      </c>
      <c r="AA22" s="3">
        <f t="shared" si="13"/>
        <v>39.508514084785268</v>
      </c>
      <c r="AB22">
        <f t="shared" si="14"/>
        <v>20.260776453736035</v>
      </c>
    </row>
    <row r="23" spans="1:28" x14ac:dyDescent="0.25">
      <c r="A23" t="s">
        <v>34</v>
      </c>
      <c r="B23">
        <v>6677</v>
      </c>
      <c r="C23" s="12">
        <v>2.9769999999999998E-2</v>
      </c>
      <c r="D23">
        <v>0.11600000000000001</v>
      </c>
      <c r="E23">
        <v>0.34499999999999997</v>
      </c>
      <c r="F23">
        <v>2.302</v>
      </c>
      <c r="G23">
        <v>3.653</v>
      </c>
      <c r="H23">
        <v>1.546</v>
      </c>
      <c r="I23">
        <v>77371</v>
      </c>
      <c r="J23">
        <v>1951</v>
      </c>
      <c r="K23">
        <v>6.7743055555555554</v>
      </c>
      <c r="L23">
        <v>4868</v>
      </c>
      <c r="M23">
        <v>2.4951307022039981</v>
      </c>
      <c r="N23">
        <f t="shared" si="1"/>
        <v>16.902777777777779</v>
      </c>
      <c r="O23">
        <f t="shared" si="2"/>
        <v>3.4333624454148476E-2</v>
      </c>
      <c r="P23">
        <f t="shared" si="3"/>
        <v>4.46542730166E-2</v>
      </c>
      <c r="Q23">
        <f t="shared" si="4"/>
        <v>2.2672092480271873E-5</v>
      </c>
      <c r="R23">
        <f t="shared" si="5"/>
        <v>1.25</v>
      </c>
      <c r="S23" s="3">
        <f t="shared" si="0"/>
        <v>1969.5699925119804</v>
      </c>
      <c r="T23" s="2">
        <f t="shared" si="6"/>
        <v>1970</v>
      </c>
      <c r="U23">
        <f t="shared" si="7"/>
        <v>790</v>
      </c>
      <c r="V23">
        <f t="shared" si="8"/>
        <v>113</v>
      </c>
      <c r="W23" s="7">
        <f t="shared" si="9"/>
        <v>4.4654999999999999E-3</v>
      </c>
      <c r="X23" s="9">
        <f t="shared" si="10"/>
        <v>2.1017620000000001E-2</v>
      </c>
      <c r="Y23" s="9">
        <f t="shared" si="11"/>
        <v>3.8522379999999995E-2</v>
      </c>
      <c r="Z23" s="11">
        <f t="shared" si="15"/>
        <v>1.7504759999999994E-2</v>
      </c>
      <c r="AA23" s="3">
        <f t="shared" si="13"/>
        <v>25.839125603989565</v>
      </c>
      <c r="AB23">
        <f t="shared" si="14"/>
        <v>13.250833643071573</v>
      </c>
    </row>
    <row r="24" spans="1:28" x14ac:dyDescent="0.25">
      <c r="A24" t="s">
        <v>35</v>
      </c>
      <c r="B24">
        <v>3541</v>
      </c>
      <c r="C24" s="12">
        <v>4.7919999999999997E-2</v>
      </c>
      <c r="D24">
        <v>0.115</v>
      </c>
      <c r="E24">
        <v>0.55000000000000004</v>
      </c>
      <c r="F24">
        <v>3.7130000000000001</v>
      </c>
      <c r="G24">
        <v>5.8710000000000004</v>
      </c>
      <c r="H24">
        <v>1.407</v>
      </c>
      <c r="I24">
        <v>21584</v>
      </c>
      <c r="J24">
        <v>1223</v>
      </c>
      <c r="K24">
        <v>6.369791666666667</v>
      </c>
      <c r="L24">
        <v>2745</v>
      </c>
      <c r="M24">
        <v>2.2444807849550288</v>
      </c>
      <c r="N24">
        <f t="shared" si="1"/>
        <v>14.296875000000002</v>
      </c>
      <c r="O24">
        <f t="shared" si="2"/>
        <v>3.060869565217391E-2</v>
      </c>
      <c r="P24">
        <f t="shared" si="3"/>
        <v>6.4192508755199995E-2</v>
      </c>
      <c r="Q24">
        <f t="shared" si="4"/>
        <v>6.0223213052428688E-5</v>
      </c>
      <c r="R24">
        <f t="shared" si="5"/>
        <v>1.25</v>
      </c>
      <c r="S24" s="3">
        <f t="shared" si="0"/>
        <v>1065.9097298464587</v>
      </c>
      <c r="T24" s="2">
        <f t="shared" si="6"/>
        <v>1066</v>
      </c>
      <c r="U24">
        <f t="shared" si="7"/>
        <v>475</v>
      </c>
      <c r="V24">
        <f t="shared" si="8"/>
        <v>68</v>
      </c>
      <c r="W24" s="7">
        <f t="shared" si="9"/>
        <v>7.1879999999999991E-3</v>
      </c>
      <c r="X24" s="9">
        <f t="shared" si="10"/>
        <v>3.3831519999999997E-2</v>
      </c>
      <c r="Y24" s="9">
        <f t="shared" si="11"/>
        <v>6.2008479999999998E-2</v>
      </c>
      <c r="Z24" s="11">
        <f t="shared" si="15"/>
        <v>2.8176960000000001E-2</v>
      </c>
      <c r="AA24" s="3">
        <f t="shared" si="13"/>
        <v>16.052395017336586</v>
      </c>
      <c r="AB24">
        <f t="shared" si="14"/>
        <v>8.2319974447879929</v>
      </c>
    </row>
    <row r="25" spans="1:28" x14ac:dyDescent="0.25">
      <c r="A25" t="s">
        <v>36</v>
      </c>
      <c r="B25">
        <v>8925</v>
      </c>
      <c r="C25" s="12">
        <v>5.4029999999999995E-2</v>
      </c>
      <c r="D25">
        <v>7.1999999999999995E-2</v>
      </c>
      <c r="E25">
        <v>0.39100000000000001</v>
      </c>
      <c r="F25">
        <v>4.6360000000000001</v>
      </c>
      <c r="G25">
        <v>6.1689999999999996</v>
      </c>
      <c r="H25">
        <v>1.3320000000000001</v>
      </c>
      <c r="I25">
        <v>138276</v>
      </c>
      <c r="J25">
        <v>2594</v>
      </c>
      <c r="K25">
        <v>6.755208333333333</v>
      </c>
      <c r="L25">
        <v>6535</v>
      </c>
      <c r="M25">
        <v>2.5192752505782581</v>
      </c>
      <c r="N25">
        <f t="shared" si="1"/>
        <v>17.018229166666671</v>
      </c>
      <c r="O25">
        <f t="shared" si="2"/>
        <v>2.0726385953503495E-2</v>
      </c>
      <c r="P25">
        <f t="shared" si="3"/>
        <v>6.8079531121199993E-2</v>
      </c>
      <c r="Q25">
        <f t="shared" si="4"/>
        <v>7.3271204247940593E-5</v>
      </c>
      <c r="R25">
        <f t="shared" si="5"/>
        <v>1.25</v>
      </c>
      <c r="S25" s="3">
        <f t="shared" si="0"/>
        <v>929.1444274728633</v>
      </c>
      <c r="T25" s="2">
        <f t="shared" si="6"/>
        <v>930</v>
      </c>
      <c r="U25">
        <f t="shared" si="7"/>
        <v>370</v>
      </c>
      <c r="V25">
        <f t="shared" si="8"/>
        <v>53</v>
      </c>
      <c r="W25" s="7">
        <f t="shared" si="9"/>
        <v>8.1044999999999989E-3</v>
      </c>
      <c r="X25" s="9">
        <f t="shared" si="10"/>
        <v>3.8145180000000001E-2</v>
      </c>
      <c r="Y25" s="9">
        <f t="shared" si="11"/>
        <v>6.9914819999999989E-2</v>
      </c>
      <c r="Z25" s="11">
        <f t="shared" si="15"/>
        <v>3.1769639999999988E-2</v>
      </c>
      <c r="AA25" s="3">
        <f t="shared" si="13"/>
        <v>14.237104742379591</v>
      </c>
      <c r="AB25">
        <f t="shared" si="14"/>
        <v>7.3010793550664568</v>
      </c>
    </row>
    <row r="26" spans="1:28" x14ac:dyDescent="0.25">
      <c r="A26" t="s">
        <v>37</v>
      </c>
      <c r="B26">
        <v>7186</v>
      </c>
      <c r="C26" s="12">
        <v>2.5610000000000001E-2</v>
      </c>
      <c r="D26">
        <v>0.11</v>
      </c>
      <c r="E26">
        <v>0.28299999999999997</v>
      </c>
      <c r="F26">
        <v>2.0070000000000001</v>
      </c>
      <c r="G26">
        <v>3.1160000000000001</v>
      </c>
      <c r="H26">
        <v>1.3779999999999999</v>
      </c>
      <c r="I26">
        <v>120572</v>
      </c>
      <c r="J26">
        <v>1923</v>
      </c>
      <c r="K26">
        <v>6.677083333333333</v>
      </c>
      <c r="L26">
        <v>4948</v>
      </c>
      <c r="M26">
        <v>2.5730629225169008</v>
      </c>
      <c r="N26">
        <f t="shared" si="1"/>
        <v>17.180555555555557</v>
      </c>
      <c r="O26">
        <f t="shared" si="2"/>
        <v>2.3361373390557931E-2</v>
      </c>
      <c r="P26">
        <f t="shared" si="3"/>
        <v>3.4386788246199999E-2</v>
      </c>
      <c r="Q26">
        <f t="shared" si="4"/>
        <v>1.66365791235296E-5</v>
      </c>
      <c r="R26">
        <f t="shared" si="5"/>
        <v>1.25</v>
      </c>
      <c r="S26" s="3">
        <f t="shared" si="0"/>
        <v>2066.9386411035525</v>
      </c>
      <c r="T26" s="2">
        <f t="shared" si="6"/>
        <v>2067</v>
      </c>
      <c r="U26">
        <f t="shared" si="7"/>
        <v>804</v>
      </c>
      <c r="V26">
        <f t="shared" si="8"/>
        <v>115</v>
      </c>
      <c r="W26" s="7">
        <f t="shared" si="9"/>
        <v>3.8414999999999999E-3</v>
      </c>
      <c r="X26" s="9">
        <f t="shared" si="10"/>
        <v>1.8080660000000002E-2</v>
      </c>
      <c r="Y26" s="9">
        <f t="shared" si="11"/>
        <v>3.3139340000000003E-2</v>
      </c>
      <c r="Z26" s="11">
        <f t="shared" si="15"/>
        <v>1.5058680000000001E-2</v>
      </c>
      <c r="AA26" s="3">
        <f t="shared" si="13"/>
        <v>30.036343976211217</v>
      </c>
      <c r="AB26">
        <f t="shared" si="14"/>
        <v>15.403253321133958</v>
      </c>
    </row>
    <row r="27" spans="1:28" x14ac:dyDescent="0.25">
      <c r="A27" t="s">
        <v>38</v>
      </c>
      <c r="B27">
        <v>7165</v>
      </c>
      <c r="C27" s="12">
        <v>2.0110000000000003E-2</v>
      </c>
      <c r="D27">
        <v>0.14699999999999999</v>
      </c>
      <c r="E27">
        <v>0.29599999999999999</v>
      </c>
      <c r="F27">
        <v>1.43</v>
      </c>
      <c r="G27">
        <v>2.5920000000000001</v>
      </c>
      <c r="H27">
        <v>1.5089999999999999</v>
      </c>
      <c r="I27">
        <v>356011</v>
      </c>
      <c r="J27">
        <v>2202</v>
      </c>
      <c r="K27">
        <v>6.5535714285714288</v>
      </c>
      <c r="L27">
        <v>5463</v>
      </c>
      <c r="M27">
        <v>2.480926430517711</v>
      </c>
      <c r="N27">
        <f t="shared" si="1"/>
        <v>16.258928571428569</v>
      </c>
      <c r="O27">
        <f t="shared" si="2"/>
        <v>3.3357519016968984E-2</v>
      </c>
      <c r="P27">
        <f t="shared" si="3"/>
        <v>2.9735732141100008E-2</v>
      </c>
      <c r="Q27">
        <f t="shared" si="4"/>
        <v>1.0165820878537526E-5</v>
      </c>
      <c r="R27">
        <f t="shared" si="5"/>
        <v>1.25</v>
      </c>
      <c r="S27" s="3">
        <f t="shared" si="0"/>
        <v>2925.0694554218671</v>
      </c>
      <c r="T27" s="2">
        <f t="shared" si="6"/>
        <v>2926</v>
      </c>
      <c r="U27">
        <f t="shared" si="7"/>
        <v>1180</v>
      </c>
      <c r="V27">
        <f t="shared" si="8"/>
        <v>169</v>
      </c>
      <c r="W27" s="7">
        <f t="shared" si="9"/>
        <v>3.0165000000000005E-3</v>
      </c>
      <c r="X27" s="9">
        <f t="shared" si="10"/>
        <v>1.4197660000000001E-2</v>
      </c>
      <c r="Y27" s="9">
        <f t="shared" si="11"/>
        <v>2.6022340000000005E-2</v>
      </c>
      <c r="Z27" s="11">
        <f t="shared" si="15"/>
        <v>1.1824680000000004E-2</v>
      </c>
      <c r="AA27" s="3">
        <f t="shared" si="13"/>
        <v>38.251157097502194</v>
      </c>
      <c r="AB27">
        <f t="shared" si="14"/>
        <v>19.615977998719075</v>
      </c>
    </row>
    <row r="28" spans="1:28" x14ac:dyDescent="0.25">
      <c r="A28" t="s">
        <v>39</v>
      </c>
      <c r="B28">
        <v>14940</v>
      </c>
      <c r="C28" s="12">
        <v>2.5870000000000001E-2</v>
      </c>
      <c r="D28">
        <v>9.7000000000000003E-2</v>
      </c>
      <c r="E28">
        <v>0.251</v>
      </c>
      <c r="F28">
        <v>2.0939999999999999</v>
      </c>
      <c r="G28">
        <v>3.08</v>
      </c>
      <c r="H28">
        <v>1.5469999999999999</v>
      </c>
      <c r="I28">
        <v>272864</v>
      </c>
      <c r="J28">
        <v>3611</v>
      </c>
      <c r="K28">
        <v>6.8390151515151514</v>
      </c>
      <c r="L28">
        <v>11195</v>
      </c>
      <c r="M28">
        <v>3.100249238438106</v>
      </c>
      <c r="N28">
        <f t="shared" si="1"/>
        <v>21.202651515151516</v>
      </c>
      <c r="O28">
        <f t="shared" si="2"/>
        <v>2.7075653885816064E-2</v>
      </c>
      <c r="P28">
        <f t="shared" si="3"/>
        <v>3.8985549575700003E-2</v>
      </c>
      <c r="Q28">
        <f t="shared" si="4"/>
        <v>1.6827950456169003E-5</v>
      </c>
      <c r="R28">
        <f t="shared" si="5"/>
        <v>1.25</v>
      </c>
      <c r="S28" s="3">
        <f t="shared" si="0"/>
        <v>2316.7140690866599</v>
      </c>
      <c r="T28" s="2">
        <f t="shared" si="6"/>
        <v>2317</v>
      </c>
      <c r="U28">
        <f t="shared" si="7"/>
        <v>748</v>
      </c>
      <c r="V28">
        <f t="shared" si="8"/>
        <v>107</v>
      </c>
      <c r="W28" s="7">
        <f t="shared" si="9"/>
        <v>3.8804999999999998E-3</v>
      </c>
      <c r="X28" s="9">
        <f t="shared" si="10"/>
        <v>1.8264220000000001E-2</v>
      </c>
      <c r="Y28" s="9">
        <f t="shared" si="11"/>
        <v>3.3475779999999997E-2</v>
      </c>
      <c r="Z28" s="11">
        <f t="shared" si="15"/>
        <v>1.5211559999999996E-2</v>
      </c>
      <c r="AA28" s="3">
        <f t="shared" si="13"/>
        <v>29.734471172430201</v>
      </c>
      <c r="AB28">
        <f t="shared" si="14"/>
        <v>15.248446755092411</v>
      </c>
    </row>
    <row r="29" spans="1:28" x14ac:dyDescent="0.25">
      <c r="A29" t="s">
        <v>40</v>
      </c>
      <c r="B29">
        <v>26965</v>
      </c>
      <c r="C29" s="12">
        <v>3.807E-2</v>
      </c>
      <c r="D29">
        <v>7.1999999999999995E-2</v>
      </c>
      <c r="E29">
        <v>0.27400000000000002</v>
      </c>
      <c r="F29">
        <v>3.2709999999999999</v>
      </c>
      <c r="G29">
        <v>4.3440000000000003</v>
      </c>
      <c r="H29">
        <v>2.9910000000000001</v>
      </c>
      <c r="I29">
        <v>456706</v>
      </c>
      <c r="J29">
        <v>8407</v>
      </c>
      <c r="K29">
        <v>6.8516707416462914</v>
      </c>
      <c r="L29">
        <v>21922</v>
      </c>
      <c r="M29">
        <v>2.607588914000238</v>
      </c>
      <c r="N29">
        <f t="shared" si="1"/>
        <v>17.866340668296658</v>
      </c>
      <c r="O29">
        <f t="shared" si="2"/>
        <v>0.11804575984537329</v>
      </c>
      <c r="P29">
        <f t="shared" si="3"/>
        <v>0.1095324392241</v>
      </c>
      <c r="Q29">
        <f t="shared" si="4"/>
        <v>3.6372585139296232E-5</v>
      </c>
      <c r="R29">
        <f t="shared" si="5"/>
        <v>1.25</v>
      </c>
      <c r="S29" s="3">
        <f t="shared" si="0"/>
        <v>3011.4009989838</v>
      </c>
      <c r="T29" s="2">
        <f t="shared" si="6"/>
        <v>3012</v>
      </c>
      <c r="U29">
        <f t="shared" si="7"/>
        <v>1156</v>
      </c>
      <c r="V29">
        <f t="shared" si="8"/>
        <v>166</v>
      </c>
      <c r="W29" s="7">
        <f t="shared" si="9"/>
        <v>5.7104999999999994E-3</v>
      </c>
      <c r="X29" s="9">
        <f t="shared" si="10"/>
        <v>2.6877419999999999E-2</v>
      </c>
      <c r="Y29" s="9">
        <f t="shared" si="11"/>
        <v>4.926258E-2</v>
      </c>
      <c r="Z29" s="11">
        <f t="shared" si="15"/>
        <v>2.2385160000000001E-2</v>
      </c>
      <c r="AA29" s="3">
        <f t="shared" si="13"/>
        <v>20.205693964559213</v>
      </c>
      <c r="AB29">
        <f t="shared" si="14"/>
        <v>10.361894340799596</v>
      </c>
    </row>
    <row r="30" spans="1:28" x14ac:dyDescent="0.25">
      <c r="A30" t="s">
        <v>41</v>
      </c>
      <c r="B30">
        <v>2800</v>
      </c>
      <c r="C30" s="12">
        <v>4.2160000000000003E-2</v>
      </c>
      <c r="D30">
        <v>0.14199999999999999</v>
      </c>
      <c r="E30">
        <v>0.59699999999999998</v>
      </c>
      <c r="F30">
        <v>3.0459999999999998</v>
      </c>
      <c r="G30">
        <v>5.3860000000000001</v>
      </c>
      <c r="H30">
        <v>1.5129999999999999</v>
      </c>
      <c r="I30">
        <v>201290</v>
      </c>
      <c r="J30">
        <v>941</v>
      </c>
      <c r="K30">
        <v>6.7697841726618702</v>
      </c>
      <c r="L30">
        <v>2339</v>
      </c>
      <c r="M30">
        <v>2.485653560042508</v>
      </c>
      <c r="N30">
        <f t="shared" si="1"/>
        <v>16.827338129496404</v>
      </c>
      <c r="O30">
        <f t="shared" si="2"/>
        <v>3.241227272727272E-2</v>
      </c>
      <c r="P30">
        <f t="shared" si="3"/>
        <v>6.1098774547200002E-2</v>
      </c>
      <c r="Q30">
        <f t="shared" si="4"/>
        <v>4.4617082879520443E-5</v>
      </c>
      <c r="R30">
        <f t="shared" si="5"/>
        <v>1.25</v>
      </c>
      <c r="S30" s="3">
        <f t="shared" si="0"/>
        <v>1369.4031658722531</v>
      </c>
      <c r="T30" s="2">
        <f t="shared" si="6"/>
        <v>1370</v>
      </c>
      <c r="U30">
        <f t="shared" si="7"/>
        <v>552</v>
      </c>
      <c r="V30">
        <f t="shared" si="8"/>
        <v>79</v>
      </c>
      <c r="W30" s="7">
        <f t="shared" si="9"/>
        <v>6.3240000000000006E-3</v>
      </c>
      <c r="X30" s="9">
        <f t="shared" si="10"/>
        <v>2.976496E-2</v>
      </c>
      <c r="Y30" s="9">
        <f t="shared" si="11"/>
        <v>5.4555040000000006E-2</v>
      </c>
      <c r="Z30" s="11">
        <f t="shared" si="15"/>
        <v>2.4790080000000006E-2</v>
      </c>
      <c r="AA30" s="3">
        <f t="shared" si="13"/>
        <v>18.245511604145378</v>
      </c>
      <c r="AB30">
        <f t="shared" si="14"/>
        <v>9.3566726175104495</v>
      </c>
    </row>
    <row r="31" spans="1:28" x14ac:dyDescent="0.25">
      <c r="A31" t="s">
        <v>42</v>
      </c>
      <c r="B31">
        <v>5234</v>
      </c>
      <c r="C31" s="12">
        <v>5.9370000000000006E-2</v>
      </c>
      <c r="D31">
        <v>0.09</v>
      </c>
      <c r="E31">
        <v>0.53600000000000003</v>
      </c>
      <c r="F31">
        <v>4.8869999999999996</v>
      </c>
      <c r="G31">
        <v>6.9880000000000004</v>
      </c>
      <c r="H31">
        <v>1.389</v>
      </c>
      <c r="I31">
        <v>189016</v>
      </c>
      <c r="J31">
        <v>1599</v>
      </c>
      <c r="K31">
        <v>6.7184873949579833</v>
      </c>
      <c r="L31">
        <v>4147</v>
      </c>
      <c r="M31">
        <v>2.5934959349593489</v>
      </c>
      <c r="N31">
        <f t="shared" si="1"/>
        <v>17.424369747899156</v>
      </c>
      <c r="O31">
        <f t="shared" si="2"/>
        <v>2.3684318239959073E-2</v>
      </c>
      <c r="P31">
        <f t="shared" si="3"/>
        <v>7.7568987105900003E-2</v>
      </c>
      <c r="Q31">
        <f t="shared" si="4"/>
        <v>8.8286206171451793E-5</v>
      </c>
      <c r="R31">
        <f t="shared" si="5"/>
        <v>1.25</v>
      </c>
      <c r="S31" s="3">
        <f t="shared" si="0"/>
        <v>878.60822737428589</v>
      </c>
      <c r="T31" s="2">
        <f t="shared" si="6"/>
        <v>879</v>
      </c>
      <c r="U31">
        <f t="shared" si="7"/>
        <v>339</v>
      </c>
      <c r="V31">
        <f t="shared" si="8"/>
        <v>49</v>
      </c>
      <c r="W31" s="7">
        <f t="shared" si="9"/>
        <v>8.9055000000000002E-3</v>
      </c>
      <c r="X31" s="9">
        <f t="shared" si="10"/>
        <v>4.1915220000000003E-2</v>
      </c>
      <c r="Y31" s="9">
        <f t="shared" si="11"/>
        <v>7.6824780000000009E-2</v>
      </c>
      <c r="Z31" s="11">
        <f t="shared" si="15"/>
        <v>3.4909560000000006E-2</v>
      </c>
      <c r="AA31" s="3">
        <f t="shared" si="13"/>
        <v>12.956556665500575</v>
      </c>
      <c r="AB31">
        <f t="shared" si="14"/>
        <v>6.6443880335900385</v>
      </c>
    </row>
    <row r="32" spans="1:28" x14ac:dyDescent="0.25">
      <c r="A32" t="s">
        <v>43</v>
      </c>
      <c r="B32">
        <v>42768</v>
      </c>
      <c r="C32" s="12">
        <v>7.6189999999999994E-2</v>
      </c>
      <c r="D32">
        <v>2.9000000000000001E-2</v>
      </c>
      <c r="E32">
        <v>0.222</v>
      </c>
      <c r="F32">
        <v>7.1840000000000002</v>
      </c>
      <c r="G32">
        <v>8.0549999999999997</v>
      </c>
      <c r="H32">
        <v>1.538</v>
      </c>
      <c r="I32">
        <v>2105452</v>
      </c>
      <c r="J32">
        <v>14009</v>
      </c>
      <c r="K32">
        <v>6.8070942662779386</v>
      </c>
      <c r="L32">
        <v>34950</v>
      </c>
      <c r="M32">
        <v>2.4948247555143119</v>
      </c>
      <c r="N32">
        <f t="shared" si="1"/>
        <v>16.982507288629733</v>
      </c>
      <c r="O32">
        <f t="shared" si="2"/>
        <v>3.3661802261948204E-2</v>
      </c>
      <c r="P32">
        <f t="shared" si="3"/>
        <v>0.10825225903819999</v>
      </c>
      <c r="Q32">
        <f t="shared" si="4"/>
        <v>1.4477231521109867E-4</v>
      </c>
      <c r="R32">
        <f t="shared" si="5"/>
        <v>1.25</v>
      </c>
      <c r="S32" s="3">
        <f t="shared" si="0"/>
        <v>747.74143716878996</v>
      </c>
      <c r="T32" s="2">
        <f t="shared" si="6"/>
        <v>748</v>
      </c>
      <c r="U32">
        <f t="shared" si="7"/>
        <v>300</v>
      </c>
      <c r="V32">
        <f t="shared" si="8"/>
        <v>43</v>
      </c>
      <c r="W32" s="7">
        <f t="shared" si="9"/>
        <v>1.1428499999999999E-2</v>
      </c>
      <c r="X32" s="9">
        <f t="shared" si="10"/>
        <v>5.379014E-2</v>
      </c>
      <c r="Y32" s="9">
        <f t="shared" si="11"/>
        <v>9.8589859999999988E-2</v>
      </c>
      <c r="Z32" s="11">
        <f t="shared" si="15"/>
        <v>4.4799719999999987E-2</v>
      </c>
      <c r="AA32" s="3">
        <f t="shared" si="13"/>
        <v>10.096216947509769</v>
      </c>
      <c r="AB32">
        <f t="shared" si="14"/>
        <v>5.1775471525691126</v>
      </c>
    </row>
    <row r="33" spans="1:28" x14ac:dyDescent="0.25">
      <c r="A33" t="s">
        <v>44</v>
      </c>
      <c r="B33">
        <v>22503</v>
      </c>
      <c r="C33" s="12">
        <v>2.6859999999999998E-2</v>
      </c>
      <c r="D33">
        <v>0.08</v>
      </c>
      <c r="E33">
        <v>0.215</v>
      </c>
      <c r="F33">
        <v>2.2639999999999998</v>
      </c>
      <c r="G33">
        <v>3.1080000000000001</v>
      </c>
      <c r="H33">
        <v>2.4529999999999998</v>
      </c>
      <c r="I33">
        <v>283744</v>
      </c>
      <c r="J33">
        <v>7634</v>
      </c>
      <c r="K33">
        <v>6.834377797672337</v>
      </c>
      <c r="L33">
        <v>18253</v>
      </c>
      <c r="M33">
        <v>2.3910138852501959</v>
      </c>
      <c r="N33">
        <f t="shared" si="1"/>
        <v>16.341092211280213</v>
      </c>
      <c r="O33">
        <f t="shared" si="2"/>
        <v>9.4712943510737627E-2</v>
      </c>
      <c r="P33">
        <f t="shared" si="3"/>
        <v>6.4117839601200002E-2</v>
      </c>
      <c r="Q33">
        <f t="shared" si="4"/>
        <v>1.8212498156600146E-5</v>
      </c>
      <c r="R33">
        <f t="shared" si="5"/>
        <v>1.25</v>
      </c>
      <c r="S33" s="3">
        <f t="shared" si="0"/>
        <v>3520.540622702214</v>
      </c>
      <c r="T33" s="2">
        <f t="shared" si="6"/>
        <v>3521</v>
      </c>
      <c r="U33">
        <f t="shared" si="7"/>
        <v>1473</v>
      </c>
      <c r="V33">
        <f t="shared" si="8"/>
        <v>211</v>
      </c>
      <c r="W33" s="7">
        <f t="shared" si="9"/>
        <v>4.0289999999999996E-3</v>
      </c>
      <c r="X33" s="9">
        <f t="shared" si="10"/>
        <v>1.896316E-2</v>
      </c>
      <c r="Y33" s="9">
        <f t="shared" si="11"/>
        <v>3.4756839999999997E-2</v>
      </c>
      <c r="Z33" s="11">
        <f t="shared" si="15"/>
        <v>1.5793679999999997E-2</v>
      </c>
      <c r="AA33" s="3">
        <f t="shared" si="13"/>
        <v>28.638524543215539</v>
      </c>
      <c r="AB33">
        <f t="shared" si="14"/>
        <v>14.686422842674636</v>
      </c>
    </row>
    <row r="34" spans="1:28" x14ac:dyDescent="0.25">
      <c r="A34" t="s">
        <v>45</v>
      </c>
      <c r="B34">
        <v>6451</v>
      </c>
      <c r="C34" s="12">
        <v>1.9610000000000002E-2</v>
      </c>
      <c r="D34">
        <v>0.154</v>
      </c>
      <c r="E34">
        <v>0.30199999999999999</v>
      </c>
      <c r="F34">
        <v>1.369</v>
      </c>
      <c r="G34">
        <v>2.5529999999999999</v>
      </c>
      <c r="H34">
        <v>1.4350000000000001</v>
      </c>
      <c r="I34">
        <v>320332</v>
      </c>
      <c r="J34">
        <v>1969</v>
      </c>
      <c r="K34">
        <v>6.5633333333333326</v>
      </c>
      <c r="L34">
        <v>4888</v>
      </c>
      <c r="M34">
        <v>2.4824784154393091</v>
      </c>
      <c r="N34">
        <f t="shared" si="1"/>
        <v>16.293333333333329</v>
      </c>
      <c r="O34">
        <f t="shared" si="2"/>
        <v>2.8443766346992163E-2</v>
      </c>
      <c r="P34">
        <f t="shared" si="3"/>
        <v>2.7588517736500003E-2</v>
      </c>
      <c r="Q34">
        <f t="shared" si="4"/>
        <v>9.6732962316284965E-6</v>
      </c>
      <c r="R34">
        <f t="shared" si="5"/>
        <v>1.25</v>
      </c>
      <c r="S34" s="3">
        <f t="shared" si="0"/>
        <v>2852.0286235311005</v>
      </c>
      <c r="T34" s="2">
        <f t="shared" si="6"/>
        <v>2853</v>
      </c>
      <c r="U34">
        <f t="shared" si="7"/>
        <v>1150</v>
      </c>
      <c r="V34">
        <f t="shared" si="8"/>
        <v>165</v>
      </c>
      <c r="W34" s="7">
        <f t="shared" si="9"/>
        <v>2.9415000000000001E-3</v>
      </c>
      <c r="X34" s="9">
        <f t="shared" si="10"/>
        <v>1.3844660000000002E-2</v>
      </c>
      <c r="Y34" s="9">
        <f t="shared" si="11"/>
        <v>2.5375340000000003E-2</v>
      </c>
      <c r="Z34" s="11">
        <f t="shared" si="15"/>
        <v>1.1530680000000001E-2</v>
      </c>
      <c r="AA34" s="3">
        <f t="shared" si="13"/>
        <v>39.226454320793941</v>
      </c>
      <c r="AB34">
        <f t="shared" si="14"/>
        <v>20.116130420919969</v>
      </c>
    </row>
    <row r="35" spans="1:28" x14ac:dyDescent="0.25">
      <c r="A35" t="s">
        <v>46</v>
      </c>
      <c r="B35">
        <v>28158</v>
      </c>
      <c r="C35" s="12">
        <v>6.2699999999999992E-2</v>
      </c>
      <c r="D35">
        <v>0.04</v>
      </c>
      <c r="E35">
        <v>0.25</v>
      </c>
      <c r="F35">
        <v>5.7809999999999997</v>
      </c>
      <c r="G35">
        <v>6.7590000000000003</v>
      </c>
      <c r="H35">
        <v>1.6859999999999999</v>
      </c>
      <c r="I35">
        <v>220216</v>
      </c>
      <c r="J35">
        <v>8568</v>
      </c>
      <c r="K35">
        <v>6.865384615384615</v>
      </c>
      <c r="L35">
        <v>22228</v>
      </c>
      <c r="M35">
        <v>2.594304388422036</v>
      </c>
      <c r="N35">
        <f t="shared" si="1"/>
        <v>17.810897435897438</v>
      </c>
      <c r="O35">
        <f t="shared" si="2"/>
        <v>4.0806863679694938E-2</v>
      </c>
      <c r="P35">
        <f t="shared" si="3"/>
        <v>9.9084045059999987E-2</v>
      </c>
      <c r="Q35">
        <f t="shared" si="4"/>
        <v>9.8459940263468567E-5</v>
      </c>
      <c r="R35">
        <f t="shared" si="5"/>
        <v>1.25</v>
      </c>
      <c r="S35" s="3">
        <f t="shared" si="0"/>
        <v>1006.3386672271116</v>
      </c>
      <c r="T35" s="2">
        <f t="shared" si="6"/>
        <v>1007</v>
      </c>
      <c r="U35">
        <f t="shared" si="7"/>
        <v>389</v>
      </c>
      <c r="V35">
        <f t="shared" si="8"/>
        <v>56</v>
      </c>
      <c r="W35" s="7">
        <f t="shared" si="9"/>
        <v>9.4049999999999984E-3</v>
      </c>
      <c r="X35" s="9">
        <f t="shared" si="10"/>
        <v>4.4266199999999992E-2</v>
      </c>
      <c r="Y35" s="9">
        <f t="shared" si="11"/>
        <v>8.1133799999999992E-2</v>
      </c>
      <c r="Z35" s="11">
        <f t="shared" si="15"/>
        <v>3.68676E-2</v>
      </c>
      <c r="AA35" s="3">
        <f t="shared" si="13"/>
        <v>12.268433321064901</v>
      </c>
      <c r="AB35">
        <f t="shared" si="14"/>
        <v>6.2915042672127699</v>
      </c>
    </row>
    <row r="36" spans="1:28" x14ac:dyDescent="0.25">
      <c r="A36" t="s">
        <v>47</v>
      </c>
      <c r="B36">
        <v>6968</v>
      </c>
      <c r="C36" s="12">
        <v>0.14151999999999998</v>
      </c>
      <c r="D36">
        <v>5.8000000000000003E-2</v>
      </c>
      <c r="E36">
        <v>0.82</v>
      </c>
      <c r="F36">
        <v>12.545</v>
      </c>
      <c r="G36">
        <v>15.759</v>
      </c>
      <c r="H36">
        <v>1.593</v>
      </c>
      <c r="I36">
        <v>128935</v>
      </c>
      <c r="J36">
        <v>2002</v>
      </c>
      <c r="K36">
        <v>6.7635135135135132</v>
      </c>
      <c r="L36">
        <v>5231</v>
      </c>
      <c r="M36">
        <v>2.6128871128871132</v>
      </c>
      <c r="N36">
        <f t="shared" si="1"/>
        <v>17.672297297297298</v>
      </c>
      <c r="O36">
        <f t="shared" si="2"/>
        <v>3.5567983789260384E-2</v>
      </c>
      <c r="P36">
        <f t="shared" si="3"/>
        <v>0.19353689873279997</v>
      </c>
      <c r="Q36">
        <f t="shared" si="4"/>
        <v>5.0081182797143782E-4</v>
      </c>
      <c r="R36">
        <f t="shared" si="5"/>
        <v>1.25</v>
      </c>
      <c r="S36" s="3">
        <f t="shared" si="0"/>
        <v>386.44634156651296</v>
      </c>
      <c r="T36" s="2">
        <f t="shared" si="6"/>
        <v>387</v>
      </c>
      <c r="U36">
        <f t="shared" si="7"/>
        <v>149</v>
      </c>
      <c r="V36">
        <f t="shared" si="8"/>
        <v>22</v>
      </c>
      <c r="W36" s="7">
        <f t="shared" si="9"/>
        <v>2.1227999999999997E-2</v>
      </c>
      <c r="X36" s="9">
        <f t="shared" si="10"/>
        <v>9.9913119999999994E-2</v>
      </c>
      <c r="Y36" s="9">
        <f t="shared" si="11"/>
        <v>0.18312687999999996</v>
      </c>
      <c r="Z36" s="11">
        <f t="shared" si="15"/>
        <v>8.321375999999997E-2</v>
      </c>
      <c r="AA36" s="3">
        <f t="shared" si="13"/>
        <v>5.435491585859026</v>
      </c>
      <c r="AB36">
        <f t="shared" si="14"/>
        <v>2.7874315824918083</v>
      </c>
    </row>
    <row r="37" spans="1:28" x14ac:dyDescent="0.25">
      <c r="A37" t="s">
        <v>48</v>
      </c>
      <c r="B37">
        <v>36509</v>
      </c>
      <c r="C37" s="12">
        <v>3.2259999999999997E-2</v>
      </c>
      <c r="D37">
        <v>4.9000000000000002E-2</v>
      </c>
      <c r="E37">
        <v>0.158</v>
      </c>
      <c r="F37">
        <v>2.9159999999999999</v>
      </c>
      <c r="G37">
        <v>3.5350000000000001</v>
      </c>
      <c r="H37">
        <v>1.369</v>
      </c>
      <c r="I37">
        <v>2033763</v>
      </c>
      <c r="J37">
        <v>10450</v>
      </c>
      <c r="K37">
        <v>6.7593790426908154</v>
      </c>
      <c r="L37">
        <v>28506</v>
      </c>
      <c r="M37">
        <v>2.7278468899521529</v>
      </c>
      <c r="N37">
        <f t="shared" si="1"/>
        <v>18.4385510996119</v>
      </c>
      <c r="O37">
        <f t="shared" si="2"/>
        <v>2.1160014836795256E-2</v>
      </c>
      <c r="P37">
        <f t="shared" si="3"/>
        <v>4.2739211295599995E-2</v>
      </c>
      <c r="Q37">
        <f t="shared" si="4"/>
        <v>2.5966633680131231E-5</v>
      </c>
      <c r="R37">
        <f t="shared" si="5"/>
        <v>1.25</v>
      </c>
      <c r="S37" s="3">
        <f t="shared" si="0"/>
        <v>1645.9280714659044</v>
      </c>
      <c r="T37" s="2">
        <f t="shared" si="6"/>
        <v>1646</v>
      </c>
      <c r="U37">
        <f t="shared" si="7"/>
        <v>604</v>
      </c>
      <c r="V37">
        <f t="shared" si="8"/>
        <v>87</v>
      </c>
      <c r="W37" s="7">
        <f t="shared" si="9"/>
        <v>4.8389999999999996E-3</v>
      </c>
      <c r="X37" s="9">
        <f t="shared" si="10"/>
        <v>2.277556E-2</v>
      </c>
      <c r="Y37" s="9">
        <f t="shared" si="11"/>
        <v>4.1744439999999994E-2</v>
      </c>
      <c r="Z37" s="11">
        <f t="shared" si="15"/>
        <v>1.8968879999999994E-2</v>
      </c>
      <c r="AA37" s="3">
        <f t="shared" si="13"/>
        <v>23.844723162764083</v>
      </c>
      <c r="AB37">
        <f t="shared" si="14"/>
        <v>12.228063160391837</v>
      </c>
    </row>
    <row r="38" spans="1:28" x14ac:dyDescent="0.25">
      <c r="A38" t="s">
        <v>49</v>
      </c>
      <c r="B38">
        <v>1268</v>
      </c>
      <c r="C38" s="12">
        <v>1.753E-2</v>
      </c>
      <c r="D38">
        <v>0.33300000000000002</v>
      </c>
      <c r="E38">
        <v>0.58399999999999996</v>
      </c>
      <c r="F38">
        <v>0.60799999999999998</v>
      </c>
      <c r="G38">
        <v>2.8980000000000001</v>
      </c>
      <c r="H38">
        <v>1.1539999999999999</v>
      </c>
      <c r="I38">
        <v>203454</v>
      </c>
      <c r="J38">
        <v>343</v>
      </c>
      <c r="K38">
        <v>6.86</v>
      </c>
      <c r="L38">
        <v>979</v>
      </c>
      <c r="M38">
        <v>2.8542274052478129</v>
      </c>
      <c r="N38">
        <f t="shared" si="1"/>
        <v>19.579999999999998</v>
      </c>
      <c r="O38">
        <f t="shared" si="2"/>
        <v>8.2884822389666275E-3</v>
      </c>
      <c r="P38">
        <f t="shared" si="3"/>
        <v>1.9874994761399999E-2</v>
      </c>
      <c r="Q38">
        <f t="shared" si="4"/>
        <v>7.7589291779481566E-6</v>
      </c>
      <c r="R38">
        <f t="shared" si="5"/>
        <v>1.25</v>
      </c>
      <c r="S38" s="3">
        <f t="shared" si="0"/>
        <v>2561.5641418518435</v>
      </c>
      <c r="T38" s="2">
        <f t="shared" si="6"/>
        <v>2562</v>
      </c>
      <c r="U38">
        <f t="shared" si="7"/>
        <v>898</v>
      </c>
      <c r="V38">
        <f t="shared" si="8"/>
        <v>129</v>
      </c>
      <c r="W38" s="7">
        <f t="shared" si="9"/>
        <v>2.6294999999999999E-3</v>
      </c>
      <c r="X38" s="9">
        <f t="shared" si="10"/>
        <v>1.2376180000000001E-2</v>
      </c>
      <c r="Y38" s="9">
        <f t="shared" si="11"/>
        <v>2.268382E-2</v>
      </c>
      <c r="Z38" s="11">
        <f t="shared" si="15"/>
        <v>1.030764E-2</v>
      </c>
      <c r="AA38" s="3">
        <f t="shared" si="13"/>
        <v>43.880819693711878</v>
      </c>
      <c r="AB38">
        <f t="shared" si="14"/>
        <v>22.502984458313783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abSelected="1" topLeftCell="H1" workbookViewId="0">
      <selection activeCell="K5" sqref="K5"/>
    </sheetView>
  </sheetViews>
  <sheetFormatPr baseColWidth="10" defaultColWidth="9.140625" defaultRowHeight="15" x14ac:dyDescent="0.25"/>
  <cols>
    <col min="1" max="1" width="20.28515625" customWidth="1"/>
    <col min="8" max="8" width="13.28515625" customWidth="1"/>
    <col min="9" max="10" width="9.140625" customWidth="1"/>
    <col min="11" max="11" width="9.140625" style="28" customWidth="1"/>
    <col min="12" max="12" width="9.140625" customWidth="1"/>
    <col min="13" max="13" width="9.140625" style="26" customWidth="1"/>
    <col min="14" max="14" width="9.140625" customWidth="1"/>
    <col min="15" max="17" width="13.28515625" customWidth="1"/>
    <col min="18" max="18" width="9.140625" customWidth="1"/>
    <col min="19" max="19" width="12" customWidth="1"/>
    <col min="20" max="21" width="9.140625" customWidth="1"/>
    <col min="22" max="22" width="11.85546875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9</v>
      </c>
      <c r="K1" s="29" t="s">
        <v>10</v>
      </c>
      <c r="L1" s="1" t="s">
        <v>58</v>
      </c>
      <c r="M1" s="25" t="s">
        <v>12</v>
      </c>
      <c r="N1" s="1" t="s">
        <v>50</v>
      </c>
      <c r="O1" s="1" t="s">
        <v>51</v>
      </c>
      <c r="P1" s="1" t="s">
        <v>52</v>
      </c>
      <c r="Q1" s="1" t="s">
        <v>54</v>
      </c>
      <c r="R1" s="1" t="s">
        <v>55</v>
      </c>
      <c r="S1" s="1" t="s">
        <v>55</v>
      </c>
      <c r="T1" s="1" t="s">
        <v>56</v>
      </c>
      <c r="U1" s="1" t="s">
        <v>59</v>
      </c>
      <c r="V1" s="15" t="s">
        <v>84</v>
      </c>
    </row>
    <row r="2" spans="1:22" x14ac:dyDescent="0.25">
      <c r="A2" t="s">
        <v>13</v>
      </c>
      <c r="B2">
        <v>345174</v>
      </c>
      <c r="C2">
        <v>0.21905000000000002</v>
      </c>
      <c r="D2">
        <v>1.4E-2</v>
      </c>
      <c r="E2">
        <v>0.29799999999999999</v>
      </c>
      <c r="F2">
        <v>21.321999999999999</v>
      </c>
      <c r="G2">
        <v>22.489000000000001</v>
      </c>
      <c r="H2">
        <v>18.113</v>
      </c>
      <c r="I2">
        <v>16884398</v>
      </c>
      <c r="J2">
        <v>104713</v>
      </c>
      <c r="K2" s="34">
        <v>6.7753477838887104</v>
      </c>
      <c r="L2">
        <v>345174</v>
      </c>
      <c r="M2" s="32">
        <v>3.2963815381089301</v>
      </c>
      <c r="N2">
        <f>(H2-1)/(K2*M2-1)</f>
        <v>0.80214186928869613</v>
      </c>
      <c r="O2">
        <f>C2*(1-C2)*H2</f>
        <v>3.0985383370175001</v>
      </c>
      <c r="P2">
        <f>(((0.15^2)*(C2^2))/(0.95)^2)+((C2*(1-C2)*H2)/I2)</f>
        <v>1.1964331616982054E-3</v>
      </c>
      <c r="Q2">
        <f>1/(1-0.2)</f>
        <v>1.25</v>
      </c>
      <c r="R2" s="3">
        <f t="shared" ref="R2:R38" si="0">O2/P2</f>
        <v>2589.8131514672041</v>
      </c>
      <c r="S2" s="2">
        <f>ROUNDUP(R2,0)</f>
        <v>2590</v>
      </c>
      <c r="T2">
        <f>ROUNDUP(S2/M2,0)</f>
        <v>786</v>
      </c>
      <c r="U2">
        <f>ROUNDUP(T2/7,0)</f>
        <v>113</v>
      </c>
    </row>
    <row r="3" spans="1:22" x14ac:dyDescent="0.25">
      <c r="A3" t="s">
        <v>14</v>
      </c>
      <c r="B3">
        <v>252463</v>
      </c>
      <c r="C3">
        <v>0.15984999999999999</v>
      </c>
      <c r="D3">
        <v>2.1000000000000001E-2</v>
      </c>
      <c r="E3">
        <v>0.33100000000000002</v>
      </c>
      <c r="F3">
        <v>15.336</v>
      </c>
      <c r="G3">
        <v>16.634</v>
      </c>
      <c r="H3">
        <v>20.895</v>
      </c>
      <c r="I3">
        <v>12714172</v>
      </c>
      <c r="J3">
        <v>77573</v>
      </c>
      <c r="K3" s="34">
        <v>6.7903536414565826</v>
      </c>
      <c r="L3">
        <v>252463</v>
      </c>
      <c r="M3" s="32">
        <v>3.2545215474456319</v>
      </c>
      <c r="N3">
        <f t="shared" ref="N3:N38" si="1">(H3-1)/(K3*M3-1)</f>
        <v>0.94291994241595756</v>
      </c>
      <c r="O3">
        <f t="shared" ref="O3:O38" si="2">C3*(1-C3)*H3</f>
        <v>2.8061562398624997</v>
      </c>
      <c r="P3">
        <f t="shared" ref="P3:P38" si="3">(((0.15^2)*(C3^2))/(0.95)^2)+((C3*(1-C3)*H3)/I3)</f>
        <v>6.3725174274769617E-4</v>
      </c>
      <c r="Q3">
        <f t="shared" ref="Q3:Q38" si="4">1/(1-0.2)</f>
        <v>1.25</v>
      </c>
      <c r="R3" s="3">
        <f t="shared" si="0"/>
        <v>4403.5285455053308</v>
      </c>
      <c r="S3" s="2">
        <f t="shared" ref="S3:S38" si="5">ROUNDUP(R3,0)</f>
        <v>4404</v>
      </c>
      <c r="T3">
        <f t="shared" ref="T3:T38" si="6">ROUNDUP(S3/M3,0)</f>
        <v>1354</v>
      </c>
      <c r="U3">
        <f t="shared" ref="U3:U38" si="7">ROUNDUP(T3/7,0)</f>
        <v>194</v>
      </c>
    </row>
    <row r="4" spans="1:22" x14ac:dyDescent="0.25">
      <c r="A4" t="s">
        <v>15</v>
      </c>
      <c r="B4">
        <v>92711</v>
      </c>
      <c r="C4">
        <v>0.34576999999999997</v>
      </c>
      <c r="D4">
        <v>1.7000000000000001E-2</v>
      </c>
      <c r="E4">
        <v>0.59699999999999998</v>
      </c>
      <c r="F4">
        <v>33.406999999999996</v>
      </c>
      <c r="G4">
        <v>35.747999999999998</v>
      </c>
      <c r="H4">
        <v>14.76</v>
      </c>
      <c r="I4">
        <v>4170226</v>
      </c>
      <c r="J4">
        <v>27140</v>
      </c>
      <c r="K4" s="34">
        <v>6.7328206400396926</v>
      </c>
      <c r="L4">
        <v>92711</v>
      </c>
      <c r="M4" s="32">
        <v>3.4160280029476788</v>
      </c>
      <c r="N4">
        <f t="shared" si="1"/>
        <v>0.6254686513306269</v>
      </c>
      <c r="O4">
        <f t="shared" si="2"/>
        <v>3.338905460796</v>
      </c>
      <c r="P4">
        <f t="shared" si="3"/>
        <v>2.9814434126402421E-3</v>
      </c>
      <c r="Q4">
        <f t="shared" si="4"/>
        <v>1.25</v>
      </c>
      <c r="R4" s="3">
        <f t="shared" si="0"/>
        <v>1119.8956339872989</v>
      </c>
      <c r="S4" s="2">
        <f t="shared" si="5"/>
        <v>1120</v>
      </c>
      <c r="T4">
        <f t="shared" si="6"/>
        <v>328</v>
      </c>
      <c r="U4">
        <f t="shared" si="7"/>
        <v>47</v>
      </c>
    </row>
    <row r="5" spans="1:22" x14ac:dyDescent="0.25">
      <c r="A5" t="s">
        <v>16</v>
      </c>
      <c r="B5">
        <v>30407</v>
      </c>
      <c r="C5">
        <v>0.11176</v>
      </c>
      <c r="D5">
        <v>9.2999999999999999E-2</v>
      </c>
      <c r="E5">
        <v>1.0409999999999999</v>
      </c>
      <c r="F5">
        <v>9.1349999999999998</v>
      </c>
      <c r="G5">
        <v>13.218</v>
      </c>
      <c r="H5">
        <v>34.329000000000001</v>
      </c>
      <c r="I5">
        <v>799010</v>
      </c>
      <c r="J5">
        <v>9508</v>
      </c>
      <c r="K5" s="34">
        <v>6.8304597701149428</v>
      </c>
      <c r="L5">
        <v>30407</v>
      </c>
      <c r="M5" s="32">
        <v>3.1980437526293648</v>
      </c>
      <c r="N5">
        <f t="shared" si="1"/>
        <v>1.5989649491642253</v>
      </c>
      <c r="O5">
        <f t="shared" si="2"/>
        <v>3.4078296136896005</v>
      </c>
      <c r="P5">
        <f t="shared" si="3"/>
        <v>3.1565752597692115E-4</v>
      </c>
      <c r="Q5">
        <f t="shared" si="4"/>
        <v>1.25</v>
      </c>
      <c r="R5" s="3">
        <f t="shared" si="0"/>
        <v>10795.971371640158</v>
      </c>
      <c r="S5" s="2">
        <f t="shared" si="5"/>
        <v>10796</v>
      </c>
      <c r="T5">
        <f t="shared" si="6"/>
        <v>3376</v>
      </c>
      <c r="U5">
        <f t="shared" si="7"/>
        <v>483</v>
      </c>
    </row>
    <row r="6" spans="1:22" x14ac:dyDescent="0.25">
      <c r="A6" t="s">
        <v>17</v>
      </c>
      <c r="B6">
        <v>5827</v>
      </c>
      <c r="C6">
        <v>0.32268999999999998</v>
      </c>
      <c r="D6">
        <v>5.2999999999999999E-2</v>
      </c>
      <c r="E6">
        <v>1.7190000000000001</v>
      </c>
      <c r="F6">
        <v>28.9</v>
      </c>
      <c r="G6">
        <v>35.637999999999998</v>
      </c>
      <c r="H6">
        <v>8.0489999999999995</v>
      </c>
      <c r="I6">
        <v>198533</v>
      </c>
      <c r="J6">
        <v>1906</v>
      </c>
      <c r="K6" s="34">
        <v>6.6180555555555554</v>
      </c>
      <c r="L6">
        <v>5827</v>
      </c>
      <c r="M6" s="32">
        <v>3.0571878279118572</v>
      </c>
      <c r="N6">
        <f t="shared" si="1"/>
        <v>0.36651236685322264</v>
      </c>
      <c r="O6">
        <f t="shared" si="2"/>
        <v>1.7591988082311001</v>
      </c>
      <c r="P6">
        <f t="shared" si="3"/>
        <v>2.6048707536643198E-3</v>
      </c>
      <c r="Q6">
        <f t="shared" si="4"/>
        <v>1.25</v>
      </c>
      <c r="R6" s="3">
        <f t="shared" si="0"/>
        <v>675.34974844966973</v>
      </c>
      <c r="S6" s="2">
        <f t="shared" si="5"/>
        <v>676</v>
      </c>
      <c r="T6">
        <f t="shared" si="6"/>
        <v>222</v>
      </c>
      <c r="U6">
        <f t="shared" si="7"/>
        <v>32</v>
      </c>
    </row>
    <row r="7" spans="1:22" x14ac:dyDescent="0.25">
      <c r="A7" t="s">
        <v>18</v>
      </c>
      <c r="B7">
        <v>6212</v>
      </c>
      <c r="C7">
        <v>0.14554999999999998</v>
      </c>
      <c r="D7">
        <v>8.5000000000000006E-2</v>
      </c>
      <c r="E7">
        <v>1.2430000000000001</v>
      </c>
      <c r="F7">
        <v>12.118</v>
      </c>
      <c r="G7">
        <v>16.992000000000001</v>
      </c>
      <c r="H7">
        <v>7.86</v>
      </c>
      <c r="I7">
        <v>226989</v>
      </c>
      <c r="J7">
        <v>1946</v>
      </c>
      <c r="K7" s="34">
        <v>6.7569444444444446</v>
      </c>
      <c r="L7">
        <v>6212</v>
      </c>
      <c r="M7" s="32">
        <v>3.1921891058581711</v>
      </c>
      <c r="N7">
        <f t="shared" si="1"/>
        <v>0.33350438892640105</v>
      </c>
      <c r="O7">
        <f t="shared" si="2"/>
        <v>0.97751045235</v>
      </c>
      <c r="P7">
        <f t="shared" si="3"/>
        <v>5.3245939304185155E-4</v>
      </c>
      <c r="Q7">
        <f t="shared" si="4"/>
        <v>1.25</v>
      </c>
      <c r="R7" s="3">
        <f t="shared" si="0"/>
        <v>1835.8403760437882</v>
      </c>
      <c r="S7" s="2">
        <f t="shared" si="5"/>
        <v>1836</v>
      </c>
      <c r="T7">
        <f t="shared" si="6"/>
        <v>576</v>
      </c>
      <c r="U7">
        <f t="shared" si="7"/>
        <v>83</v>
      </c>
    </row>
    <row r="8" spans="1:22" x14ac:dyDescent="0.25">
      <c r="A8" t="s">
        <v>19</v>
      </c>
      <c r="B8">
        <v>7411</v>
      </c>
      <c r="C8">
        <v>0.28592000000000001</v>
      </c>
      <c r="D8">
        <v>5.8000000000000003E-2</v>
      </c>
      <c r="E8">
        <v>1.669</v>
      </c>
      <c r="F8">
        <v>25.321000000000002</v>
      </c>
      <c r="G8">
        <v>31.863</v>
      </c>
      <c r="H8">
        <v>10.385999999999999</v>
      </c>
      <c r="I8">
        <v>171776</v>
      </c>
      <c r="J8">
        <v>2302</v>
      </c>
      <c r="K8" s="34">
        <v>6.8511904761904763</v>
      </c>
      <c r="L8">
        <v>7411</v>
      </c>
      <c r="M8" s="32">
        <v>3.219374456993918</v>
      </c>
      <c r="N8">
        <f t="shared" si="1"/>
        <v>0.4457520848056537</v>
      </c>
      <c r="O8">
        <f t="shared" si="2"/>
        <v>2.1205070608895999</v>
      </c>
      <c r="P8">
        <f t="shared" si="3"/>
        <v>2.0504393917156871E-3</v>
      </c>
      <c r="Q8">
        <f t="shared" si="4"/>
        <v>1.25</v>
      </c>
      <c r="R8" s="3">
        <f t="shared" si="0"/>
        <v>1034.1720264724745</v>
      </c>
      <c r="S8" s="2">
        <f t="shared" si="5"/>
        <v>1035</v>
      </c>
      <c r="T8">
        <f t="shared" si="6"/>
        <v>322</v>
      </c>
      <c r="U8">
        <f t="shared" si="7"/>
        <v>46</v>
      </c>
    </row>
    <row r="9" spans="1:22" x14ac:dyDescent="0.25">
      <c r="A9" t="s">
        <v>20</v>
      </c>
      <c r="B9">
        <v>6124</v>
      </c>
      <c r="C9">
        <v>0.24216000000000001</v>
      </c>
      <c r="D9">
        <v>6.6000000000000003E-2</v>
      </c>
      <c r="E9">
        <v>1.59</v>
      </c>
      <c r="F9">
        <v>21.1</v>
      </c>
      <c r="G9">
        <v>27.332999999999998</v>
      </c>
      <c r="H9">
        <v>8.48</v>
      </c>
      <c r="I9">
        <v>465599</v>
      </c>
      <c r="J9">
        <v>1936</v>
      </c>
      <c r="K9" s="34">
        <v>6.7222222222222223</v>
      </c>
      <c r="L9">
        <v>6124</v>
      </c>
      <c r="M9" s="32">
        <v>3.1632231404958682</v>
      </c>
      <c r="N9">
        <f t="shared" si="1"/>
        <v>0.36912954078135707</v>
      </c>
      <c r="O9">
        <f t="shared" si="2"/>
        <v>1.556237171712</v>
      </c>
      <c r="P9">
        <f t="shared" si="3"/>
        <v>1.4653180376427237E-3</v>
      </c>
      <c r="Q9">
        <f t="shared" si="4"/>
        <v>1.25</v>
      </c>
      <c r="R9" s="3">
        <f t="shared" si="0"/>
        <v>1062.0473724704427</v>
      </c>
      <c r="S9" s="2">
        <f t="shared" si="5"/>
        <v>1063</v>
      </c>
      <c r="T9">
        <f t="shared" si="6"/>
        <v>337</v>
      </c>
      <c r="U9">
        <f t="shared" si="7"/>
        <v>49</v>
      </c>
    </row>
    <row r="10" spans="1:22" s="27" customFormat="1" x14ac:dyDescent="0.25">
      <c r="A10" s="27" t="s">
        <v>21</v>
      </c>
      <c r="B10" s="27">
        <v>5712</v>
      </c>
      <c r="C10" s="27">
        <v>0.31019999999999998</v>
      </c>
      <c r="D10" s="27">
        <v>6.0999999999999999E-2</v>
      </c>
      <c r="E10" s="27">
        <v>1.893</v>
      </c>
      <c r="F10" s="27">
        <v>27.309000000000001</v>
      </c>
      <c r="G10" s="27">
        <v>34.729999999999997</v>
      </c>
      <c r="H10" s="27">
        <v>9.577</v>
      </c>
      <c r="I10" s="27">
        <v>470596</v>
      </c>
      <c r="J10" s="27">
        <v>1930</v>
      </c>
      <c r="K10" s="30">
        <v>6.7013888888888893</v>
      </c>
      <c r="L10" s="27">
        <v>5712</v>
      </c>
      <c r="M10" s="30">
        <v>2.9595854922279798</v>
      </c>
      <c r="N10" s="27">
        <f t="shared" si="1"/>
        <v>0.45541592920353968</v>
      </c>
      <c r="O10" s="27">
        <f t="shared" si="2"/>
        <v>2.0492477689199995</v>
      </c>
      <c r="P10" s="27">
        <f t="shared" si="3"/>
        <v>2.4032918649769495E-3</v>
      </c>
      <c r="Q10" s="27">
        <f t="shared" si="4"/>
        <v>1.25</v>
      </c>
      <c r="R10" s="30">
        <f t="shared" si="0"/>
        <v>852.68368723066192</v>
      </c>
      <c r="S10" s="31">
        <f t="shared" si="5"/>
        <v>853</v>
      </c>
      <c r="T10" s="27">
        <f t="shared" si="6"/>
        <v>289</v>
      </c>
      <c r="U10" s="27">
        <f t="shared" si="7"/>
        <v>42</v>
      </c>
    </row>
    <row r="11" spans="1:22" x14ac:dyDescent="0.25">
      <c r="A11" t="s">
        <v>22</v>
      </c>
      <c r="B11">
        <v>36493</v>
      </c>
      <c r="C11">
        <v>0.13363</v>
      </c>
      <c r="D11">
        <v>5.0999999999999997E-2</v>
      </c>
      <c r="E11">
        <v>0.68500000000000005</v>
      </c>
      <c r="F11">
        <v>12.021000000000001</v>
      </c>
      <c r="G11">
        <v>14.705</v>
      </c>
      <c r="H11">
        <v>15.492000000000001</v>
      </c>
      <c r="I11">
        <v>712260</v>
      </c>
      <c r="J11">
        <v>11179</v>
      </c>
      <c r="K11" s="34">
        <v>6.8498774509803919</v>
      </c>
      <c r="L11">
        <v>36493</v>
      </c>
      <c r="M11" s="32">
        <v>3.264424367116916</v>
      </c>
      <c r="N11">
        <f t="shared" si="1"/>
        <v>0.67843561573104616</v>
      </c>
      <c r="O11">
        <f t="shared" si="2"/>
        <v>1.7935556738652001</v>
      </c>
      <c r="P11">
        <f t="shared" si="3"/>
        <v>4.4770590908052322E-4</v>
      </c>
      <c r="Q11">
        <f t="shared" si="4"/>
        <v>1.25</v>
      </c>
      <c r="R11" s="3">
        <f t="shared" si="0"/>
        <v>4006.1023039627021</v>
      </c>
      <c r="S11" s="2">
        <f t="shared" si="5"/>
        <v>4007</v>
      </c>
      <c r="T11">
        <f t="shared" si="6"/>
        <v>1228</v>
      </c>
      <c r="U11">
        <f t="shared" si="7"/>
        <v>176</v>
      </c>
    </row>
    <row r="12" spans="1:22" s="26" customFormat="1" x14ac:dyDescent="0.25">
      <c r="A12" s="26" t="s">
        <v>23</v>
      </c>
      <c r="B12" s="26">
        <v>21802</v>
      </c>
      <c r="C12" s="26">
        <v>0.45638000000000001</v>
      </c>
      <c r="D12" s="26">
        <v>0.02</v>
      </c>
      <c r="E12" s="26">
        <v>0.90600000000000003</v>
      </c>
      <c r="F12" s="26">
        <v>43.860999999999997</v>
      </c>
      <c r="G12" s="26">
        <v>47.414000000000001</v>
      </c>
      <c r="H12" s="26">
        <v>7.399</v>
      </c>
      <c r="I12" s="26">
        <v>550425</v>
      </c>
      <c r="J12" s="26">
        <v>6135</v>
      </c>
      <c r="K12" s="32">
        <v>6.7269736842105274</v>
      </c>
      <c r="L12" s="26">
        <v>21802</v>
      </c>
      <c r="M12" s="32">
        <v>3.5537082314588431</v>
      </c>
      <c r="N12" s="26">
        <f t="shared" si="1"/>
        <v>0.27936275730014354</v>
      </c>
      <c r="O12" s="26">
        <f t="shared" si="2"/>
        <v>1.8356718901444</v>
      </c>
      <c r="P12" s="26">
        <f t="shared" si="3"/>
        <v>5.1959786082030153E-3</v>
      </c>
      <c r="Q12" s="26">
        <f t="shared" si="4"/>
        <v>1.25</v>
      </c>
      <c r="R12" s="32">
        <f t="shared" si="0"/>
        <v>353.28703764222223</v>
      </c>
      <c r="S12" s="33">
        <f t="shared" si="5"/>
        <v>354</v>
      </c>
      <c r="T12" s="26">
        <f t="shared" si="6"/>
        <v>100</v>
      </c>
      <c r="U12" s="26">
        <f t="shared" si="7"/>
        <v>15</v>
      </c>
    </row>
    <row r="13" spans="1:22" x14ac:dyDescent="0.25">
      <c r="A13" t="s">
        <v>24</v>
      </c>
      <c r="B13">
        <v>44034</v>
      </c>
      <c r="C13">
        <v>0.20126999999999998</v>
      </c>
      <c r="D13">
        <v>3.7999999999999999E-2</v>
      </c>
      <c r="E13">
        <v>0.75800000000000001</v>
      </c>
      <c r="F13">
        <v>18.640999999999998</v>
      </c>
      <c r="G13">
        <v>21.613</v>
      </c>
      <c r="H13">
        <v>15.801</v>
      </c>
      <c r="I13">
        <v>4376301</v>
      </c>
      <c r="J13">
        <v>12660</v>
      </c>
      <c r="K13" s="34">
        <v>6.7628205128205128</v>
      </c>
      <c r="L13">
        <v>44034</v>
      </c>
      <c r="M13" s="32">
        <v>3.4781990521327009</v>
      </c>
      <c r="N13">
        <f t="shared" si="1"/>
        <v>0.65716692756510608</v>
      </c>
      <c r="O13">
        <f t="shared" si="2"/>
        <v>2.5401748765670997</v>
      </c>
      <c r="P13">
        <f t="shared" si="3"/>
        <v>1.0105153864398738E-3</v>
      </c>
      <c r="Q13">
        <f t="shared" si="4"/>
        <v>1.25</v>
      </c>
      <c r="R13" s="3">
        <f t="shared" si="0"/>
        <v>2513.7419089840264</v>
      </c>
      <c r="S13" s="2">
        <f t="shared" si="5"/>
        <v>2514</v>
      </c>
      <c r="T13">
        <f t="shared" si="6"/>
        <v>723</v>
      </c>
      <c r="U13">
        <f t="shared" si="7"/>
        <v>104</v>
      </c>
    </row>
    <row r="14" spans="1:22" x14ac:dyDescent="0.25">
      <c r="A14" t="s">
        <v>25</v>
      </c>
      <c r="B14">
        <v>16337</v>
      </c>
      <c r="C14">
        <v>0.25885000000000002</v>
      </c>
      <c r="D14">
        <v>3.6999999999999998E-2</v>
      </c>
      <c r="E14">
        <v>0.96599999999999997</v>
      </c>
      <c r="F14">
        <v>23.99</v>
      </c>
      <c r="G14">
        <v>27.779</v>
      </c>
      <c r="H14">
        <v>8.11</v>
      </c>
      <c r="I14">
        <v>468517</v>
      </c>
      <c r="J14">
        <v>4926</v>
      </c>
      <c r="K14" s="34">
        <v>6.8416666666666668</v>
      </c>
      <c r="L14">
        <v>16337</v>
      </c>
      <c r="M14" s="32">
        <v>3.3164839626471778</v>
      </c>
      <c r="N14">
        <f t="shared" si="1"/>
        <v>0.32779663187552027</v>
      </c>
      <c r="O14">
        <f t="shared" si="2"/>
        <v>1.555876554525</v>
      </c>
      <c r="P14">
        <f t="shared" si="3"/>
        <v>1.6737637972154462E-3</v>
      </c>
      <c r="Q14">
        <f t="shared" si="4"/>
        <v>1.25</v>
      </c>
      <c r="R14" s="3">
        <f t="shared" si="0"/>
        <v>929.56757525370722</v>
      </c>
      <c r="S14" s="2">
        <f t="shared" si="5"/>
        <v>930</v>
      </c>
      <c r="T14">
        <f t="shared" si="6"/>
        <v>281</v>
      </c>
      <c r="U14">
        <f t="shared" si="7"/>
        <v>41</v>
      </c>
    </row>
    <row r="15" spans="1:22" x14ac:dyDescent="0.25">
      <c r="A15" t="s">
        <v>26</v>
      </c>
      <c r="B15">
        <v>11376</v>
      </c>
      <c r="C15">
        <v>0.27827999999999997</v>
      </c>
      <c r="D15">
        <v>4.4999999999999998E-2</v>
      </c>
      <c r="E15">
        <v>1.26</v>
      </c>
      <c r="F15">
        <v>25.359000000000002</v>
      </c>
      <c r="G15">
        <v>30.297000000000001</v>
      </c>
      <c r="H15">
        <v>9.1289999999999996</v>
      </c>
      <c r="I15">
        <v>483773</v>
      </c>
      <c r="J15">
        <v>3559</v>
      </c>
      <c r="K15" s="34">
        <v>6.7405303030303028</v>
      </c>
      <c r="L15">
        <v>11376</v>
      </c>
      <c r="M15" s="32">
        <v>3.1964034841247542</v>
      </c>
      <c r="N15">
        <f t="shared" si="1"/>
        <v>0.39565929203539824</v>
      </c>
      <c r="O15">
        <f t="shared" si="2"/>
        <v>1.8334705655663999</v>
      </c>
      <c r="P15">
        <f t="shared" si="3"/>
        <v>1.9344210356835316E-3</v>
      </c>
      <c r="Q15">
        <f t="shared" si="4"/>
        <v>1.25</v>
      </c>
      <c r="R15" s="3">
        <f t="shared" si="0"/>
        <v>947.81359990667147</v>
      </c>
      <c r="S15" s="2">
        <f t="shared" si="5"/>
        <v>948</v>
      </c>
      <c r="T15">
        <f t="shared" si="6"/>
        <v>297</v>
      </c>
      <c r="U15">
        <f t="shared" si="7"/>
        <v>43</v>
      </c>
    </row>
    <row r="16" spans="1:22" x14ac:dyDescent="0.25">
      <c r="A16" t="s">
        <v>27</v>
      </c>
      <c r="B16">
        <v>6431</v>
      </c>
      <c r="C16">
        <v>0.25305</v>
      </c>
      <c r="D16">
        <v>6.7000000000000004E-2</v>
      </c>
      <c r="E16">
        <v>1.694</v>
      </c>
      <c r="F16">
        <v>21.984000000000002</v>
      </c>
      <c r="G16">
        <v>28.626000000000001</v>
      </c>
      <c r="H16">
        <v>9.7409999999999997</v>
      </c>
      <c r="I16">
        <v>897111</v>
      </c>
      <c r="J16">
        <v>1933</v>
      </c>
      <c r="K16" s="34">
        <v>6.7118055555555554</v>
      </c>
      <c r="L16">
        <v>6431</v>
      </c>
      <c r="M16" s="32">
        <v>3.3269529229177439</v>
      </c>
      <c r="N16">
        <f t="shared" si="1"/>
        <v>0.40980107439361879</v>
      </c>
      <c r="O16">
        <f t="shared" si="2"/>
        <v>1.8412019093474998</v>
      </c>
      <c r="P16">
        <f t="shared" si="3"/>
        <v>1.5984754220171773E-3</v>
      </c>
      <c r="Q16">
        <f t="shared" si="4"/>
        <v>1.25</v>
      </c>
      <c r="R16" s="3">
        <f t="shared" si="0"/>
        <v>1151.848745365141</v>
      </c>
      <c r="S16" s="2">
        <f t="shared" si="5"/>
        <v>1152</v>
      </c>
      <c r="T16">
        <f t="shared" si="6"/>
        <v>347</v>
      </c>
      <c r="U16">
        <f t="shared" si="7"/>
        <v>50</v>
      </c>
    </row>
    <row r="17" spans="1:21" x14ac:dyDescent="0.25">
      <c r="A17" t="s">
        <v>28</v>
      </c>
      <c r="B17">
        <v>7642</v>
      </c>
      <c r="C17">
        <v>0.25051000000000001</v>
      </c>
      <c r="D17">
        <v>5.8999999999999997E-2</v>
      </c>
      <c r="E17">
        <v>1.4670000000000001</v>
      </c>
      <c r="F17">
        <v>22.175000000000001</v>
      </c>
      <c r="G17">
        <v>27.927</v>
      </c>
      <c r="H17">
        <v>8.7810000000000006</v>
      </c>
      <c r="I17">
        <v>1589104</v>
      </c>
      <c r="J17">
        <v>2268</v>
      </c>
      <c r="K17" s="34">
        <v>6.75</v>
      </c>
      <c r="L17">
        <v>7642</v>
      </c>
      <c r="M17" s="32">
        <v>3.3694885361552029</v>
      </c>
      <c r="N17">
        <f t="shared" si="1"/>
        <v>0.35784505885573503</v>
      </c>
      <c r="O17">
        <f t="shared" si="2"/>
        <v>1.6486743710619001</v>
      </c>
      <c r="P17">
        <f t="shared" si="3"/>
        <v>1.5655730571269065E-3</v>
      </c>
      <c r="Q17">
        <f t="shared" si="4"/>
        <v>1.25</v>
      </c>
      <c r="R17" s="3">
        <f t="shared" si="0"/>
        <v>1053.0804446056952</v>
      </c>
      <c r="S17" s="2">
        <f t="shared" si="5"/>
        <v>1054</v>
      </c>
      <c r="T17">
        <f t="shared" si="6"/>
        <v>313</v>
      </c>
      <c r="U17">
        <f t="shared" si="7"/>
        <v>45</v>
      </c>
    </row>
    <row r="18" spans="1:21" x14ac:dyDescent="0.25">
      <c r="A18" t="s">
        <v>29</v>
      </c>
      <c r="B18">
        <v>4676</v>
      </c>
      <c r="C18">
        <v>0.50478999999999996</v>
      </c>
      <c r="D18">
        <v>4.5999999999999999E-2</v>
      </c>
      <c r="E18">
        <v>2.3050000000000002</v>
      </c>
      <c r="F18">
        <v>45.962000000000003</v>
      </c>
      <c r="G18">
        <v>54.997</v>
      </c>
      <c r="H18">
        <v>10.119</v>
      </c>
      <c r="I18">
        <v>191813</v>
      </c>
      <c r="J18">
        <v>1285</v>
      </c>
      <c r="K18" s="34">
        <v>6.692708333333333</v>
      </c>
      <c r="L18">
        <v>4676</v>
      </c>
      <c r="M18" s="32">
        <v>3.6389105058365758</v>
      </c>
      <c r="N18">
        <f t="shared" si="1"/>
        <v>0.39046565566458524</v>
      </c>
      <c r="O18">
        <f t="shared" si="2"/>
        <v>2.5295178286521001</v>
      </c>
      <c r="P18">
        <f t="shared" si="3"/>
        <v>6.3658646927492561E-3</v>
      </c>
      <c r="Q18">
        <f t="shared" si="4"/>
        <v>1.25</v>
      </c>
      <c r="R18" s="3">
        <f t="shared" si="0"/>
        <v>397.35651804431694</v>
      </c>
      <c r="S18" s="2">
        <f t="shared" si="5"/>
        <v>398</v>
      </c>
      <c r="T18">
        <f t="shared" si="6"/>
        <v>110</v>
      </c>
      <c r="U18">
        <f t="shared" si="7"/>
        <v>16</v>
      </c>
    </row>
    <row r="19" spans="1:21" x14ac:dyDescent="0.25">
      <c r="A19" t="s">
        <v>30</v>
      </c>
      <c r="B19">
        <v>5888</v>
      </c>
      <c r="C19">
        <v>0.50119000000000002</v>
      </c>
      <c r="D19">
        <v>4.3999999999999997E-2</v>
      </c>
      <c r="E19">
        <v>2.222</v>
      </c>
      <c r="F19">
        <v>45.762999999999998</v>
      </c>
      <c r="G19">
        <v>54.475000000000001</v>
      </c>
      <c r="H19">
        <v>12.116</v>
      </c>
      <c r="I19">
        <v>131082</v>
      </c>
      <c r="J19">
        <v>1585</v>
      </c>
      <c r="K19" s="34">
        <v>6.6317991631799167</v>
      </c>
      <c r="L19">
        <v>5888</v>
      </c>
      <c r="M19" s="32">
        <v>3.7148264984227128</v>
      </c>
      <c r="N19">
        <f t="shared" si="1"/>
        <v>0.47029987608426266</v>
      </c>
      <c r="O19">
        <f t="shared" si="2"/>
        <v>3.0289828425323999</v>
      </c>
      <c r="P19">
        <f t="shared" si="3"/>
        <v>6.285497417237761E-3</v>
      </c>
      <c r="Q19">
        <f t="shared" si="4"/>
        <v>1.25</v>
      </c>
      <c r="R19" s="3">
        <f t="shared" si="0"/>
        <v>481.90026046713797</v>
      </c>
      <c r="S19" s="2">
        <f t="shared" si="5"/>
        <v>482</v>
      </c>
      <c r="T19">
        <f t="shared" si="6"/>
        <v>130</v>
      </c>
      <c r="U19">
        <f t="shared" si="7"/>
        <v>19</v>
      </c>
    </row>
    <row r="20" spans="1:21" x14ac:dyDescent="0.25">
      <c r="A20" t="s">
        <v>31</v>
      </c>
      <c r="B20">
        <v>6855</v>
      </c>
      <c r="C20">
        <v>0.37359999999999999</v>
      </c>
      <c r="D20">
        <v>6.3E-2</v>
      </c>
      <c r="E20">
        <v>2.343</v>
      </c>
      <c r="F20">
        <v>32.768000000000001</v>
      </c>
      <c r="G20">
        <v>41.951999999999998</v>
      </c>
      <c r="H20">
        <v>16.940999999999999</v>
      </c>
      <c r="I20">
        <v>111532</v>
      </c>
      <c r="J20">
        <v>1928</v>
      </c>
      <c r="K20" s="34">
        <v>6.6944444444444446</v>
      </c>
      <c r="L20">
        <v>6855</v>
      </c>
      <c r="M20" s="32">
        <v>3.5554979253112031</v>
      </c>
      <c r="N20">
        <f t="shared" si="1"/>
        <v>0.69910278666057557</v>
      </c>
      <c r="O20">
        <f t="shared" si="2"/>
        <v>3.9645843206400002</v>
      </c>
      <c r="P20">
        <f t="shared" si="3"/>
        <v>3.5153046138735595E-3</v>
      </c>
      <c r="Q20">
        <f t="shared" si="4"/>
        <v>1.25</v>
      </c>
      <c r="R20" s="3">
        <f t="shared" si="0"/>
        <v>1127.8067638842181</v>
      </c>
      <c r="S20" s="2">
        <f t="shared" si="5"/>
        <v>1128</v>
      </c>
      <c r="T20">
        <f t="shared" si="6"/>
        <v>318</v>
      </c>
      <c r="U20">
        <f t="shared" si="7"/>
        <v>46</v>
      </c>
    </row>
    <row r="21" spans="1:21" s="27" customFormat="1" x14ac:dyDescent="0.25">
      <c r="A21" s="27" t="s">
        <v>32</v>
      </c>
      <c r="B21" s="27">
        <v>47254</v>
      </c>
      <c r="C21" s="27">
        <v>0.11301</v>
      </c>
      <c r="D21" s="27">
        <v>3.5000000000000003E-2</v>
      </c>
      <c r="E21" s="27">
        <v>0.39900000000000002</v>
      </c>
      <c r="F21" s="27">
        <v>10.52</v>
      </c>
      <c r="G21" s="27">
        <v>12.083</v>
      </c>
      <c r="H21" s="27">
        <v>7.51</v>
      </c>
      <c r="I21" s="27">
        <v>3083707</v>
      </c>
      <c r="J21" s="27">
        <v>15369</v>
      </c>
      <c r="K21" s="30">
        <v>6.8125</v>
      </c>
      <c r="L21" s="27">
        <v>47254</v>
      </c>
      <c r="M21" s="30">
        <v>3.074630750211464</v>
      </c>
      <c r="N21" s="27">
        <f t="shared" si="1"/>
        <v>0.32638250588915069</v>
      </c>
      <c r="O21" s="27">
        <f t="shared" si="2"/>
        <v>0.75279293664899993</v>
      </c>
      <c r="P21" s="27">
        <f t="shared" si="3"/>
        <v>3.1864118568087957E-4</v>
      </c>
      <c r="Q21" s="27">
        <f t="shared" si="4"/>
        <v>1.25</v>
      </c>
      <c r="R21" s="30">
        <f t="shared" si="0"/>
        <v>2362.5098401526948</v>
      </c>
      <c r="S21" s="31">
        <f t="shared" si="5"/>
        <v>2363</v>
      </c>
      <c r="T21" s="27">
        <f t="shared" si="6"/>
        <v>769</v>
      </c>
      <c r="U21" s="27">
        <f t="shared" si="7"/>
        <v>110</v>
      </c>
    </row>
    <row r="22" spans="1:21" x14ac:dyDescent="0.25">
      <c r="A22" t="s">
        <v>33</v>
      </c>
      <c r="B22">
        <v>26259</v>
      </c>
      <c r="C22">
        <v>0.15056</v>
      </c>
      <c r="D22">
        <v>7.2999999999999995E-2</v>
      </c>
      <c r="E22">
        <v>1.0960000000000001</v>
      </c>
      <c r="F22">
        <v>12.909000000000001</v>
      </c>
      <c r="G22">
        <v>17.204000000000001</v>
      </c>
      <c r="H22">
        <v>25.568999999999999</v>
      </c>
      <c r="I22">
        <v>560955</v>
      </c>
      <c r="J22">
        <v>8854</v>
      </c>
      <c r="K22" s="34">
        <v>6.8317901234567904</v>
      </c>
      <c r="L22">
        <v>26259</v>
      </c>
      <c r="M22" s="32">
        <v>2.9657781793539639</v>
      </c>
      <c r="N22">
        <f t="shared" si="1"/>
        <v>1.275544766254056</v>
      </c>
      <c r="O22">
        <f t="shared" si="2"/>
        <v>3.2700625295615993</v>
      </c>
      <c r="P22">
        <f t="shared" si="3"/>
        <v>5.7096746825803534E-4</v>
      </c>
      <c r="Q22">
        <f t="shared" si="4"/>
        <v>1.25</v>
      </c>
      <c r="R22" s="3">
        <f t="shared" si="0"/>
        <v>5727.2309043074438</v>
      </c>
      <c r="S22" s="2">
        <f t="shared" si="5"/>
        <v>5728</v>
      </c>
      <c r="T22">
        <f t="shared" si="6"/>
        <v>1932</v>
      </c>
      <c r="U22">
        <f t="shared" si="7"/>
        <v>276</v>
      </c>
    </row>
    <row r="23" spans="1:21" x14ac:dyDescent="0.25">
      <c r="A23" t="s">
        <v>34</v>
      </c>
      <c r="B23">
        <v>6677</v>
      </c>
      <c r="C23">
        <v>0.31333</v>
      </c>
      <c r="D23">
        <v>4.8000000000000001E-2</v>
      </c>
      <c r="E23">
        <v>1.518</v>
      </c>
      <c r="F23">
        <v>28.356000000000002</v>
      </c>
      <c r="G23">
        <v>34.308999999999997</v>
      </c>
      <c r="H23">
        <v>7.532</v>
      </c>
      <c r="I23">
        <v>110440</v>
      </c>
      <c r="J23">
        <v>1951</v>
      </c>
      <c r="K23" s="34">
        <v>6.7743055555555554</v>
      </c>
      <c r="L23">
        <v>6677</v>
      </c>
      <c r="M23" s="32">
        <v>3.4223475140953359</v>
      </c>
      <c r="N23">
        <f t="shared" si="1"/>
        <v>0.29444607919862265</v>
      </c>
      <c r="O23">
        <f t="shared" si="2"/>
        <v>1.6205422712052</v>
      </c>
      <c r="P23">
        <f t="shared" si="3"/>
        <v>2.4622668605093372E-3</v>
      </c>
      <c r="Q23">
        <f t="shared" si="4"/>
        <v>1.25</v>
      </c>
      <c r="R23" s="3">
        <f t="shared" si="0"/>
        <v>658.1505429797237</v>
      </c>
      <c r="S23" s="2">
        <f t="shared" si="5"/>
        <v>659</v>
      </c>
      <c r="T23">
        <f t="shared" si="6"/>
        <v>193</v>
      </c>
      <c r="U23">
        <f t="shared" si="7"/>
        <v>28</v>
      </c>
    </row>
    <row r="24" spans="1:21" x14ac:dyDescent="0.25">
      <c r="A24" t="s">
        <v>35</v>
      </c>
      <c r="B24">
        <v>3541</v>
      </c>
      <c r="C24">
        <v>1.8069999999999999E-2</v>
      </c>
      <c r="D24">
        <v>0.30499999999999999</v>
      </c>
      <c r="E24">
        <v>0.55100000000000005</v>
      </c>
      <c r="F24">
        <v>0.72699999999999998</v>
      </c>
      <c r="G24">
        <v>2.8879999999999999</v>
      </c>
      <c r="H24">
        <v>6.7350000000000003</v>
      </c>
      <c r="I24">
        <v>28442</v>
      </c>
      <c r="J24">
        <v>1223</v>
      </c>
      <c r="K24" s="34">
        <v>6.369791666666667</v>
      </c>
      <c r="L24">
        <v>3541</v>
      </c>
      <c r="M24" s="32">
        <v>2.8953393295175802</v>
      </c>
      <c r="N24">
        <f t="shared" si="1"/>
        <v>0.3287906837862048</v>
      </c>
      <c r="O24">
        <f t="shared" si="2"/>
        <v>0.11950230479850001</v>
      </c>
      <c r="P24">
        <f t="shared" si="3"/>
        <v>1.2342123951572779E-5</v>
      </c>
      <c r="Q24">
        <f t="shared" si="4"/>
        <v>1.25</v>
      </c>
      <c r="R24" s="3">
        <f t="shared" si="0"/>
        <v>9682.4748533879065</v>
      </c>
      <c r="S24" s="2">
        <f t="shared" si="5"/>
        <v>9683</v>
      </c>
      <c r="T24">
        <f t="shared" si="6"/>
        <v>3345</v>
      </c>
      <c r="U24">
        <f t="shared" si="7"/>
        <v>478</v>
      </c>
    </row>
    <row r="25" spans="1:21" x14ac:dyDescent="0.25">
      <c r="A25" t="s">
        <v>36</v>
      </c>
      <c r="B25">
        <v>8925</v>
      </c>
      <c r="C25">
        <v>0.42984</v>
      </c>
      <c r="D25">
        <v>4.3999999999999997E-2</v>
      </c>
      <c r="E25">
        <v>1.871</v>
      </c>
      <c r="F25">
        <v>39.317</v>
      </c>
      <c r="G25">
        <v>46.651000000000003</v>
      </c>
      <c r="H25">
        <v>13.05</v>
      </c>
      <c r="I25">
        <v>197969</v>
      </c>
      <c r="J25">
        <v>2594</v>
      </c>
      <c r="K25" s="34">
        <v>6.755208333333333</v>
      </c>
      <c r="L25">
        <v>8925</v>
      </c>
      <c r="M25" s="32">
        <v>3.4406322282189672</v>
      </c>
      <c r="N25">
        <f t="shared" si="1"/>
        <v>0.54176325957147875</v>
      </c>
      <c r="O25">
        <f t="shared" si="2"/>
        <v>3.1982623459200004</v>
      </c>
      <c r="P25">
        <f t="shared" si="3"/>
        <v>4.6224208276786881E-3</v>
      </c>
      <c r="Q25">
        <f t="shared" si="4"/>
        <v>1.25</v>
      </c>
      <c r="R25" s="3">
        <f t="shared" si="0"/>
        <v>691.90202821194032</v>
      </c>
      <c r="S25" s="2">
        <f t="shared" si="5"/>
        <v>692</v>
      </c>
      <c r="T25">
        <f t="shared" si="6"/>
        <v>202</v>
      </c>
      <c r="U25">
        <f t="shared" si="7"/>
        <v>29</v>
      </c>
    </row>
    <row r="26" spans="1:21" x14ac:dyDescent="0.25">
      <c r="A26" t="s">
        <v>37</v>
      </c>
      <c r="B26">
        <v>7186</v>
      </c>
      <c r="C26">
        <v>0.44435999999999998</v>
      </c>
      <c r="D26">
        <v>5.0999999999999997E-2</v>
      </c>
      <c r="E26">
        <v>2.246</v>
      </c>
      <c r="F26">
        <v>40.033999999999999</v>
      </c>
      <c r="G26">
        <v>48.838000000000001</v>
      </c>
      <c r="H26">
        <v>15.247</v>
      </c>
      <c r="I26">
        <v>181995</v>
      </c>
      <c r="J26">
        <v>1923</v>
      </c>
      <c r="K26" s="34">
        <v>6.677083333333333</v>
      </c>
      <c r="L26">
        <v>7186</v>
      </c>
      <c r="M26" s="32">
        <v>3.7368694747789908</v>
      </c>
      <c r="N26">
        <f t="shared" si="1"/>
        <v>0.59482980574079447</v>
      </c>
      <c r="O26">
        <f t="shared" si="2"/>
        <v>3.7645481910287999</v>
      </c>
      <c r="P26">
        <f t="shared" si="3"/>
        <v>4.9434059139448422E-3</v>
      </c>
      <c r="Q26">
        <f t="shared" si="4"/>
        <v>1.25</v>
      </c>
      <c r="R26" s="3">
        <f t="shared" si="0"/>
        <v>761.52924857119149</v>
      </c>
      <c r="S26" s="2">
        <f t="shared" si="5"/>
        <v>762</v>
      </c>
      <c r="T26">
        <f t="shared" si="6"/>
        <v>204</v>
      </c>
      <c r="U26">
        <f t="shared" si="7"/>
        <v>30</v>
      </c>
    </row>
    <row r="27" spans="1:21" s="27" customFormat="1" x14ac:dyDescent="0.25">
      <c r="A27" s="27" t="s">
        <v>38</v>
      </c>
      <c r="B27" s="27">
        <v>7165</v>
      </c>
      <c r="C27" s="27">
        <v>0.22856000000000001</v>
      </c>
      <c r="D27" s="27">
        <v>7.3999999999999996E-2</v>
      </c>
      <c r="E27" s="27">
        <v>1.69</v>
      </c>
      <c r="F27" s="27">
        <v>19.542999999999999</v>
      </c>
      <c r="G27" s="27">
        <v>26.167999999999999</v>
      </c>
      <c r="H27" s="27">
        <v>11.702</v>
      </c>
      <c r="I27" s="27">
        <v>491394</v>
      </c>
      <c r="J27" s="27">
        <v>2202</v>
      </c>
      <c r="K27" s="30">
        <v>6.5535714285714288</v>
      </c>
      <c r="L27" s="27">
        <v>7165</v>
      </c>
      <c r="M27" s="30">
        <v>3.2538601271571301</v>
      </c>
      <c r="N27" s="27">
        <f t="shared" si="1"/>
        <v>0.52655908624981695</v>
      </c>
      <c r="O27" s="27">
        <f t="shared" si="2"/>
        <v>2.0633004595328002</v>
      </c>
      <c r="P27" s="27">
        <f t="shared" si="3"/>
        <v>1.3065730059742694E-3</v>
      </c>
      <c r="Q27" s="27">
        <f t="shared" si="4"/>
        <v>1.25</v>
      </c>
      <c r="R27" s="30">
        <f t="shared" si="0"/>
        <v>1579.1696675948572</v>
      </c>
      <c r="S27" s="31">
        <f t="shared" si="5"/>
        <v>1580</v>
      </c>
      <c r="T27" s="27">
        <f t="shared" si="6"/>
        <v>486</v>
      </c>
      <c r="U27" s="27">
        <f t="shared" si="7"/>
        <v>70</v>
      </c>
    </row>
    <row r="28" spans="1:21" x14ac:dyDescent="0.25">
      <c r="A28" t="s">
        <v>39</v>
      </c>
      <c r="B28">
        <v>14940</v>
      </c>
      <c r="C28">
        <v>0.30885999999999997</v>
      </c>
      <c r="D28">
        <v>3.6999999999999998E-2</v>
      </c>
      <c r="E28">
        <v>1.131</v>
      </c>
      <c r="F28">
        <v>28.669</v>
      </c>
      <c r="G28">
        <v>33.101999999999997</v>
      </c>
      <c r="H28">
        <v>9.2639999999999993</v>
      </c>
      <c r="I28">
        <v>385075</v>
      </c>
      <c r="J28">
        <v>3611</v>
      </c>
      <c r="K28" s="34">
        <v>6.8390151515151514</v>
      </c>
      <c r="L28">
        <v>14940</v>
      </c>
      <c r="M28" s="32">
        <v>4.1373580725560783</v>
      </c>
      <c r="N28">
        <f t="shared" si="1"/>
        <v>0.30276103247293923</v>
      </c>
      <c r="O28">
        <f t="shared" si="2"/>
        <v>1.9775443957056</v>
      </c>
      <c r="P28">
        <f t="shared" si="3"/>
        <v>2.3833917012466691E-3</v>
      </c>
      <c r="Q28">
        <f t="shared" si="4"/>
        <v>1.25</v>
      </c>
      <c r="R28" s="3">
        <f t="shared" si="0"/>
        <v>829.71858745300472</v>
      </c>
      <c r="S28" s="2">
        <f t="shared" si="5"/>
        <v>830</v>
      </c>
      <c r="T28">
        <f t="shared" si="6"/>
        <v>201</v>
      </c>
      <c r="U28">
        <f t="shared" si="7"/>
        <v>29</v>
      </c>
    </row>
    <row r="29" spans="1:21" s="27" customFormat="1" x14ac:dyDescent="0.25">
      <c r="A29" s="27" t="s">
        <v>40</v>
      </c>
      <c r="B29" s="27">
        <v>26965</v>
      </c>
      <c r="C29" s="27">
        <v>7.7280000000000001E-2</v>
      </c>
      <c r="D29" s="27">
        <v>0.14000000000000001</v>
      </c>
      <c r="E29" s="27">
        <v>1.0840000000000001</v>
      </c>
      <c r="F29" s="27">
        <v>5.6029999999999998</v>
      </c>
      <c r="G29" s="27">
        <v>9.8529999999999998</v>
      </c>
      <c r="H29" s="27">
        <v>46.173000000000002</v>
      </c>
      <c r="I29" s="27">
        <v>593830</v>
      </c>
      <c r="J29" s="27">
        <v>8407</v>
      </c>
      <c r="K29" s="30">
        <v>6.8516707416462914</v>
      </c>
      <c r="L29" s="27">
        <v>26965</v>
      </c>
      <c r="M29" s="30">
        <v>3.2074461758058761</v>
      </c>
      <c r="N29" s="27">
        <f t="shared" si="1"/>
        <v>2.1535189602921752</v>
      </c>
      <c r="O29" s="27">
        <f t="shared" si="2"/>
        <v>3.2924951232768001</v>
      </c>
      <c r="P29" s="27">
        <f t="shared" si="3"/>
        <v>1.5443588074816699E-4</v>
      </c>
      <c r="Q29" s="27">
        <f t="shared" si="4"/>
        <v>1.25</v>
      </c>
      <c r="R29" s="30">
        <f t="shared" si="0"/>
        <v>21319.495879624974</v>
      </c>
      <c r="S29" s="31">
        <f t="shared" si="5"/>
        <v>21320</v>
      </c>
      <c r="T29" s="27">
        <f t="shared" si="6"/>
        <v>6648</v>
      </c>
      <c r="U29" s="27">
        <f t="shared" si="7"/>
        <v>950</v>
      </c>
    </row>
    <row r="30" spans="1:21" x14ac:dyDescent="0.25">
      <c r="A30" t="s">
        <v>41</v>
      </c>
      <c r="B30">
        <v>2800</v>
      </c>
      <c r="C30">
        <v>0.15503999999999998</v>
      </c>
      <c r="D30">
        <v>0.13400000000000001</v>
      </c>
      <c r="E30">
        <v>2.0779999999999998</v>
      </c>
      <c r="F30">
        <v>11.432</v>
      </c>
      <c r="G30">
        <v>19.577000000000002</v>
      </c>
      <c r="H30">
        <v>9.2140000000000004</v>
      </c>
      <c r="I30">
        <v>260195</v>
      </c>
      <c r="J30">
        <v>941</v>
      </c>
      <c r="K30" s="34">
        <v>6.7697841726618702</v>
      </c>
      <c r="L30">
        <v>2800</v>
      </c>
      <c r="M30" s="32">
        <v>2.9755579171094579</v>
      </c>
      <c r="N30">
        <f t="shared" si="1"/>
        <v>0.42906651634723791</v>
      </c>
      <c r="O30">
        <f t="shared" si="2"/>
        <v>1.2070579416576002</v>
      </c>
      <c r="P30">
        <f t="shared" si="3"/>
        <v>6.0390945125639447E-4</v>
      </c>
      <c r="Q30">
        <f t="shared" si="4"/>
        <v>1.25</v>
      </c>
      <c r="R30" s="3">
        <f t="shared" si="0"/>
        <v>1998.7399421327061</v>
      </c>
      <c r="S30" s="2">
        <f t="shared" si="5"/>
        <v>1999</v>
      </c>
      <c r="T30">
        <f t="shared" si="6"/>
        <v>672</v>
      </c>
      <c r="U30">
        <f t="shared" si="7"/>
        <v>96</v>
      </c>
    </row>
    <row r="31" spans="1:21" x14ac:dyDescent="0.25">
      <c r="A31" t="s">
        <v>42</v>
      </c>
      <c r="B31">
        <v>5234</v>
      </c>
      <c r="C31">
        <v>0.15770000000000001</v>
      </c>
      <c r="D31">
        <v>0.1</v>
      </c>
      <c r="E31">
        <v>1.5720000000000001</v>
      </c>
      <c r="F31">
        <v>12.688000000000001</v>
      </c>
      <c r="G31">
        <v>18.852</v>
      </c>
      <c r="H31">
        <v>9.9079999999999995</v>
      </c>
      <c r="I31">
        <v>248742</v>
      </c>
      <c r="J31">
        <v>1599</v>
      </c>
      <c r="K31" s="34">
        <v>6.7184873949579833</v>
      </c>
      <c r="L31">
        <v>5234</v>
      </c>
      <c r="M31" s="32">
        <v>3.273295809881176</v>
      </c>
      <c r="N31">
        <f t="shared" si="1"/>
        <v>0.42436028823058436</v>
      </c>
      <c r="O31">
        <f t="shared" si="2"/>
        <v>1.3160866746800002</v>
      </c>
      <c r="P31">
        <f t="shared" si="3"/>
        <v>6.2530097086410826E-4</v>
      </c>
      <c r="Q31">
        <f t="shared" si="4"/>
        <v>1.25</v>
      </c>
      <c r="R31" s="3">
        <f t="shared" si="0"/>
        <v>2104.7251419764948</v>
      </c>
      <c r="S31" s="2">
        <f t="shared" si="5"/>
        <v>2105</v>
      </c>
      <c r="T31">
        <f t="shared" si="6"/>
        <v>644</v>
      </c>
      <c r="U31">
        <f t="shared" si="7"/>
        <v>92</v>
      </c>
    </row>
    <row r="32" spans="1:21" x14ac:dyDescent="0.25">
      <c r="A32" t="s">
        <v>43</v>
      </c>
      <c r="B32">
        <v>42768</v>
      </c>
      <c r="C32">
        <v>0.10825</v>
      </c>
      <c r="D32">
        <v>3.7999999999999999E-2</v>
      </c>
      <c r="E32">
        <v>0.41599999999999998</v>
      </c>
      <c r="F32">
        <v>10.01</v>
      </c>
      <c r="G32">
        <v>11.64</v>
      </c>
      <c r="H32">
        <v>7.68</v>
      </c>
      <c r="I32">
        <v>2674566</v>
      </c>
      <c r="J32">
        <v>14009</v>
      </c>
      <c r="K32" s="34">
        <v>6.8070942662779386</v>
      </c>
      <c r="L32">
        <v>42768</v>
      </c>
      <c r="M32" s="32">
        <v>3.0528945677778569</v>
      </c>
      <c r="N32">
        <f t="shared" si="1"/>
        <v>0.33769196757553432</v>
      </c>
      <c r="O32">
        <f t="shared" si="2"/>
        <v>0.7413652799999999</v>
      </c>
      <c r="P32">
        <f t="shared" si="3"/>
        <v>2.9241725319821115E-4</v>
      </c>
      <c r="Q32">
        <f t="shared" si="4"/>
        <v>1.25</v>
      </c>
      <c r="R32" s="3">
        <f t="shared" si="0"/>
        <v>2535.2993774873989</v>
      </c>
      <c r="S32" s="2">
        <f t="shared" si="5"/>
        <v>2536</v>
      </c>
      <c r="T32">
        <f t="shared" si="6"/>
        <v>831</v>
      </c>
      <c r="U32">
        <f t="shared" si="7"/>
        <v>119</v>
      </c>
    </row>
    <row r="33" spans="1:21" x14ac:dyDescent="0.25">
      <c r="A33" t="s">
        <v>44</v>
      </c>
      <c r="B33">
        <v>22503</v>
      </c>
      <c r="C33">
        <v>0.14402999999999999</v>
      </c>
      <c r="D33">
        <v>9.5000000000000001E-2</v>
      </c>
      <c r="E33">
        <v>1.369</v>
      </c>
      <c r="F33">
        <v>11.718999999999999</v>
      </c>
      <c r="G33">
        <v>17.087</v>
      </c>
      <c r="H33">
        <v>36.356999999999999</v>
      </c>
      <c r="I33">
        <v>368510</v>
      </c>
      <c r="J33">
        <v>7634</v>
      </c>
      <c r="K33" s="34">
        <v>6.834377797672337</v>
      </c>
      <c r="L33">
        <v>22503</v>
      </c>
      <c r="M33" s="32">
        <v>2.9477338223735918</v>
      </c>
      <c r="N33">
        <f t="shared" si="1"/>
        <v>1.8467113532217336</v>
      </c>
      <c r="O33">
        <f t="shared" si="2"/>
        <v>4.4822858007986994</v>
      </c>
      <c r="P33">
        <f t="shared" si="3"/>
        <v>5.2934268077548582E-4</v>
      </c>
      <c r="Q33">
        <f t="shared" si="4"/>
        <v>1.25</v>
      </c>
      <c r="R33" s="3">
        <f t="shared" si="0"/>
        <v>8467.6448047456906</v>
      </c>
      <c r="S33" s="2">
        <f t="shared" si="5"/>
        <v>8468</v>
      </c>
      <c r="T33">
        <f t="shared" si="6"/>
        <v>2873</v>
      </c>
      <c r="U33">
        <f t="shared" si="7"/>
        <v>411</v>
      </c>
    </row>
    <row r="34" spans="1:21" x14ac:dyDescent="0.25">
      <c r="A34" t="s">
        <v>45</v>
      </c>
      <c r="B34">
        <v>6451</v>
      </c>
      <c r="C34">
        <v>0.2293</v>
      </c>
      <c r="D34">
        <v>7.9000000000000001E-2</v>
      </c>
      <c r="E34">
        <v>1.8009999999999999</v>
      </c>
      <c r="F34">
        <v>19.399999999999999</v>
      </c>
      <c r="G34">
        <v>26.46</v>
      </c>
      <c r="H34">
        <v>11.946</v>
      </c>
      <c r="I34">
        <v>440014</v>
      </c>
      <c r="J34">
        <v>1969</v>
      </c>
      <c r="K34" s="34">
        <v>6.5633333333333326</v>
      </c>
      <c r="L34">
        <v>6451</v>
      </c>
      <c r="M34" s="32">
        <v>3.2762823768410358</v>
      </c>
      <c r="N34">
        <f t="shared" si="1"/>
        <v>0.53386441229068449</v>
      </c>
      <c r="O34">
        <f t="shared" si="2"/>
        <v>2.1111151584600001</v>
      </c>
      <c r="P34">
        <f t="shared" si="3"/>
        <v>1.315618916670481E-3</v>
      </c>
      <c r="Q34">
        <f t="shared" si="4"/>
        <v>1.25</v>
      </c>
      <c r="R34" s="3">
        <f t="shared" si="0"/>
        <v>1604.6555212224609</v>
      </c>
      <c r="S34" s="2">
        <f t="shared" si="5"/>
        <v>1605</v>
      </c>
      <c r="T34">
        <f t="shared" si="6"/>
        <v>490</v>
      </c>
      <c r="U34">
        <f t="shared" si="7"/>
        <v>70</v>
      </c>
    </row>
    <row r="35" spans="1:21" x14ac:dyDescent="0.25">
      <c r="A35" t="s">
        <v>46</v>
      </c>
      <c r="B35">
        <v>28158</v>
      </c>
      <c r="C35">
        <v>0.11419</v>
      </c>
      <c r="D35">
        <v>4.7E-2</v>
      </c>
      <c r="E35">
        <v>0.54</v>
      </c>
      <c r="F35">
        <v>10.362</v>
      </c>
      <c r="G35">
        <v>12.477</v>
      </c>
      <c r="H35">
        <v>8.9749999999999996</v>
      </c>
      <c r="I35">
        <v>292827</v>
      </c>
      <c r="J35">
        <v>8568</v>
      </c>
      <c r="K35" s="34">
        <v>6.865384615384615</v>
      </c>
      <c r="L35">
        <v>28158</v>
      </c>
      <c r="M35" s="32">
        <v>3.28641456582633</v>
      </c>
      <c r="N35">
        <f t="shared" si="1"/>
        <v>0.36985507246376814</v>
      </c>
      <c r="O35">
        <f t="shared" si="2"/>
        <v>0.90782702900250001</v>
      </c>
      <c r="P35">
        <f t="shared" si="3"/>
        <v>3.2818111626763412E-4</v>
      </c>
      <c r="Q35">
        <f t="shared" si="4"/>
        <v>1.25</v>
      </c>
      <c r="R35" s="3">
        <f t="shared" si="0"/>
        <v>2766.2378607493079</v>
      </c>
      <c r="S35" s="2">
        <f t="shared" si="5"/>
        <v>2767</v>
      </c>
      <c r="T35">
        <f t="shared" si="6"/>
        <v>842</v>
      </c>
      <c r="U35">
        <f t="shared" si="7"/>
        <v>121</v>
      </c>
    </row>
    <row r="36" spans="1:21" x14ac:dyDescent="0.25">
      <c r="A36" t="s">
        <v>47</v>
      </c>
      <c r="B36">
        <v>6968</v>
      </c>
      <c r="C36">
        <v>0.35790999999999995</v>
      </c>
      <c r="D36">
        <v>4.2999999999999997E-2</v>
      </c>
      <c r="E36">
        <v>1.5489999999999999</v>
      </c>
      <c r="F36">
        <v>32.753999999999998</v>
      </c>
      <c r="G36">
        <v>38.828000000000003</v>
      </c>
      <c r="H36">
        <v>7.4930000000000003</v>
      </c>
      <c r="I36">
        <v>182473</v>
      </c>
      <c r="J36">
        <v>2002</v>
      </c>
      <c r="K36" s="34">
        <v>6.7635135135135132</v>
      </c>
      <c r="L36">
        <v>6968</v>
      </c>
      <c r="M36" s="32">
        <v>3.4805194805194799</v>
      </c>
      <c r="N36">
        <f t="shared" si="1"/>
        <v>0.28805875299760197</v>
      </c>
      <c r="O36">
        <f t="shared" si="2"/>
        <v>1.7219695662266998</v>
      </c>
      <c r="P36">
        <f t="shared" si="3"/>
        <v>3.2030548870882851E-3</v>
      </c>
      <c r="Q36">
        <f t="shared" si="4"/>
        <v>1.25</v>
      </c>
      <c r="R36" s="3">
        <f t="shared" si="0"/>
        <v>537.60226625152973</v>
      </c>
      <c r="S36" s="2">
        <f t="shared" si="5"/>
        <v>538</v>
      </c>
      <c r="T36">
        <f t="shared" si="6"/>
        <v>155</v>
      </c>
      <c r="U36">
        <f t="shared" si="7"/>
        <v>23</v>
      </c>
    </row>
    <row r="37" spans="1:21" x14ac:dyDescent="0.25">
      <c r="A37" t="s">
        <v>48</v>
      </c>
      <c r="B37">
        <v>36509</v>
      </c>
      <c r="C37">
        <v>0.14019000000000001</v>
      </c>
      <c r="D37">
        <v>4.4999999999999998E-2</v>
      </c>
      <c r="E37">
        <v>0.63200000000000001</v>
      </c>
      <c r="F37">
        <v>12.78</v>
      </c>
      <c r="G37">
        <v>15.257</v>
      </c>
      <c r="H37">
        <v>12.188000000000001</v>
      </c>
      <c r="I37">
        <v>2709479</v>
      </c>
      <c r="J37">
        <v>10450</v>
      </c>
      <c r="K37" s="34">
        <v>6.7593790426908154</v>
      </c>
      <c r="L37">
        <v>36509</v>
      </c>
      <c r="M37" s="32">
        <v>3.4936842105263159</v>
      </c>
      <c r="N37">
        <f t="shared" si="1"/>
        <v>0.49471292509224035</v>
      </c>
      <c r="O37">
        <f t="shared" si="2"/>
        <v>1.4691020784132001</v>
      </c>
      <c r="P37">
        <f t="shared" si="3"/>
        <v>4.9051208339727869E-4</v>
      </c>
      <c r="Q37">
        <f t="shared" si="4"/>
        <v>1.25</v>
      </c>
      <c r="R37" s="3">
        <f t="shared" si="0"/>
        <v>2995.0374886551685</v>
      </c>
      <c r="S37" s="2">
        <f t="shared" si="5"/>
        <v>2996</v>
      </c>
      <c r="T37">
        <f t="shared" si="6"/>
        <v>858</v>
      </c>
      <c r="U37">
        <f t="shared" si="7"/>
        <v>123</v>
      </c>
    </row>
    <row r="38" spans="1:21" x14ac:dyDescent="0.25">
      <c r="A38" t="s">
        <v>49</v>
      </c>
      <c r="B38">
        <v>1268</v>
      </c>
      <c r="C38">
        <v>0.13314000000000001</v>
      </c>
      <c r="D38">
        <v>0.217</v>
      </c>
      <c r="E38">
        <v>2.887</v>
      </c>
      <c r="F38">
        <v>7.6539999999999999</v>
      </c>
      <c r="G38">
        <v>18.974</v>
      </c>
      <c r="H38">
        <v>9.1820000000000004</v>
      </c>
      <c r="I38">
        <v>269242</v>
      </c>
      <c r="J38">
        <v>343</v>
      </c>
      <c r="K38" s="34">
        <v>6.86</v>
      </c>
      <c r="L38">
        <v>1268</v>
      </c>
      <c r="M38" s="32">
        <v>3.6967930029154519</v>
      </c>
      <c r="N38">
        <f t="shared" si="1"/>
        <v>0.33587848932676523</v>
      </c>
      <c r="O38">
        <f t="shared" si="2"/>
        <v>1.0597289643528001</v>
      </c>
      <c r="P38">
        <f t="shared" si="3"/>
        <v>4.4586488166234212E-4</v>
      </c>
      <c r="Q38">
        <f t="shared" si="4"/>
        <v>1.25</v>
      </c>
      <c r="R38" s="3">
        <f t="shared" si="0"/>
        <v>2376.7939748960612</v>
      </c>
      <c r="S38" s="2">
        <f t="shared" si="5"/>
        <v>2377</v>
      </c>
      <c r="T38">
        <f t="shared" si="6"/>
        <v>643</v>
      </c>
      <c r="U38">
        <f t="shared" si="7"/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8" workbookViewId="0">
      <selection activeCell="E21" sqref="E21"/>
    </sheetView>
  </sheetViews>
  <sheetFormatPr baseColWidth="10" defaultRowHeight="15" x14ac:dyDescent="0.25"/>
  <cols>
    <col min="6" max="6" width="21.28515625" customWidth="1"/>
  </cols>
  <sheetData>
    <row r="1" spans="1:6" x14ac:dyDescent="0.25">
      <c r="A1" s="1" t="s">
        <v>0</v>
      </c>
      <c r="B1" s="1" t="s">
        <v>53</v>
      </c>
      <c r="C1" s="1" t="s">
        <v>59</v>
      </c>
      <c r="D1" s="1" t="s">
        <v>60</v>
      </c>
      <c r="E1" s="1" t="s">
        <v>80</v>
      </c>
      <c r="F1" s="1" t="s">
        <v>79</v>
      </c>
    </row>
    <row r="2" spans="1:6" x14ac:dyDescent="0.25">
      <c r="A2" t="s">
        <v>13</v>
      </c>
      <c r="B2">
        <v>118</v>
      </c>
      <c r="C2">
        <v>113</v>
      </c>
      <c r="D2">
        <f>MAX(B2)</f>
        <v>118</v>
      </c>
      <c r="E2" s="2">
        <f>ROUNDUP(D2/12, 0)</f>
        <v>10</v>
      </c>
    </row>
    <row r="3" spans="1:6" x14ac:dyDescent="0.25">
      <c r="A3" t="s">
        <v>14</v>
      </c>
      <c r="B3">
        <v>98</v>
      </c>
      <c r="C3">
        <v>194</v>
      </c>
      <c r="D3">
        <f t="shared" ref="D3:D38" si="0">MAX(B3)</f>
        <v>98</v>
      </c>
      <c r="E3" s="2">
        <f t="shared" ref="E3:E28" si="1">ROUNDUP(D3/12, 0)</f>
        <v>9</v>
      </c>
    </row>
    <row r="4" spans="1:6" x14ac:dyDescent="0.25">
      <c r="A4" t="s">
        <v>15</v>
      </c>
      <c r="B4">
        <v>226</v>
      </c>
      <c r="C4">
        <v>47</v>
      </c>
      <c r="D4">
        <f t="shared" si="0"/>
        <v>226</v>
      </c>
      <c r="E4" s="2">
        <f t="shared" si="1"/>
        <v>19</v>
      </c>
    </row>
    <row r="5" spans="1:6" x14ac:dyDescent="0.25">
      <c r="A5" t="s">
        <v>16</v>
      </c>
      <c r="B5">
        <v>173</v>
      </c>
      <c r="C5">
        <v>483</v>
      </c>
      <c r="D5">
        <f t="shared" si="0"/>
        <v>173</v>
      </c>
      <c r="E5" s="2">
        <f>ROUNDUP(D5/12, 0)</f>
        <v>15</v>
      </c>
    </row>
    <row r="6" spans="1:6" x14ac:dyDescent="0.25">
      <c r="A6" t="s">
        <v>17</v>
      </c>
      <c r="B6">
        <v>215</v>
      </c>
      <c r="C6">
        <v>32</v>
      </c>
      <c r="D6">
        <f t="shared" si="0"/>
        <v>215</v>
      </c>
      <c r="E6" s="2">
        <f t="shared" si="1"/>
        <v>18</v>
      </c>
    </row>
    <row r="7" spans="1:6" x14ac:dyDescent="0.25">
      <c r="A7" t="s">
        <v>18</v>
      </c>
      <c r="B7">
        <v>88</v>
      </c>
      <c r="C7">
        <v>83</v>
      </c>
      <c r="D7">
        <f t="shared" si="0"/>
        <v>88</v>
      </c>
      <c r="E7" s="2">
        <f t="shared" si="1"/>
        <v>8</v>
      </c>
    </row>
    <row r="8" spans="1:6" x14ac:dyDescent="0.25">
      <c r="A8" t="s">
        <v>19</v>
      </c>
      <c r="B8">
        <v>72</v>
      </c>
      <c r="C8">
        <v>46</v>
      </c>
      <c r="D8">
        <f t="shared" si="0"/>
        <v>72</v>
      </c>
      <c r="E8" s="2">
        <f t="shared" si="1"/>
        <v>6</v>
      </c>
    </row>
    <row r="9" spans="1:6" x14ac:dyDescent="0.25">
      <c r="A9" t="s">
        <v>20</v>
      </c>
      <c r="B9">
        <v>232</v>
      </c>
      <c r="C9">
        <v>49</v>
      </c>
      <c r="D9">
        <f t="shared" si="0"/>
        <v>232</v>
      </c>
      <c r="E9" s="2">
        <f t="shared" si="1"/>
        <v>20</v>
      </c>
    </row>
    <row r="10" spans="1:6" x14ac:dyDescent="0.25">
      <c r="A10" t="s">
        <v>21</v>
      </c>
      <c r="B10">
        <v>124</v>
      </c>
      <c r="C10">
        <v>42</v>
      </c>
      <c r="D10">
        <f t="shared" si="0"/>
        <v>124</v>
      </c>
      <c r="E10" s="2">
        <f t="shared" si="1"/>
        <v>11</v>
      </c>
    </row>
    <row r="11" spans="1:6" x14ac:dyDescent="0.25">
      <c r="A11" t="s">
        <v>22</v>
      </c>
      <c r="B11">
        <v>88</v>
      </c>
      <c r="C11">
        <v>176</v>
      </c>
      <c r="D11">
        <f t="shared" si="0"/>
        <v>88</v>
      </c>
      <c r="E11" s="2">
        <f t="shared" si="1"/>
        <v>8</v>
      </c>
    </row>
    <row r="12" spans="1:6" x14ac:dyDescent="0.25">
      <c r="A12" t="s">
        <v>23</v>
      </c>
      <c r="B12">
        <v>37</v>
      </c>
      <c r="C12">
        <v>15</v>
      </c>
      <c r="D12">
        <f t="shared" si="0"/>
        <v>37</v>
      </c>
      <c r="E12" s="2">
        <f t="shared" si="1"/>
        <v>4</v>
      </c>
    </row>
    <row r="13" spans="1:6" x14ac:dyDescent="0.25">
      <c r="A13" t="s">
        <v>24</v>
      </c>
      <c r="B13">
        <v>127</v>
      </c>
      <c r="C13">
        <v>104</v>
      </c>
      <c r="D13">
        <f t="shared" si="0"/>
        <v>127</v>
      </c>
      <c r="E13" s="2">
        <f t="shared" si="1"/>
        <v>11</v>
      </c>
    </row>
    <row r="14" spans="1:6" x14ac:dyDescent="0.25">
      <c r="A14" t="s">
        <v>25</v>
      </c>
      <c r="B14">
        <v>65</v>
      </c>
      <c r="C14">
        <v>41</v>
      </c>
      <c r="D14">
        <f t="shared" si="0"/>
        <v>65</v>
      </c>
      <c r="E14" s="2">
        <f t="shared" si="1"/>
        <v>6</v>
      </c>
    </row>
    <row r="15" spans="1:6" x14ac:dyDescent="0.25">
      <c r="A15" t="s">
        <v>26</v>
      </c>
      <c r="B15">
        <v>73</v>
      </c>
      <c r="C15">
        <v>43</v>
      </c>
      <c r="D15">
        <f t="shared" si="0"/>
        <v>73</v>
      </c>
      <c r="E15" s="2">
        <f t="shared" si="1"/>
        <v>7</v>
      </c>
    </row>
    <row r="16" spans="1:6" x14ac:dyDescent="0.25">
      <c r="A16" t="s">
        <v>27</v>
      </c>
      <c r="B16">
        <v>170</v>
      </c>
      <c r="C16">
        <v>50</v>
      </c>
      <c r="D16">
        <f t="shared" si="0"/>
        <v>170</v>
      </c>
      <c r="E16" s="2">
        <f t="shared" si="1"/>
        <v>15</v>
      </c>
    </row>
    <row r="17" spans="1:5" x14ac:dyDescent="0.25">
      <c r="A17" t="s">
        <v>28</v>
      </c>
      <c r="B17">
        <v>139</v>
      </c>
      <c r="C17">
        <v>45</v>
      </c>
      <c r="D17">
        <f t="shared" si="0"/>
        <v>139</v>
      </c>
      <c r="E17" s="2">
        <f t="shared" si="1"/>
        <v>12</v>
      </c>
    </row>
    <row r="18" spans="1:5" x14ac:dyDescent="0.25">
      <c r="A18" t="s">
        <v>29</v>
      </c>
      <c r="B18">
        <v>223</v>
      </c>
      <c r="C18">
        <v>16</v>
      </c>
      <c r="D18">
        <f t="shared" si="0"/>
        <v>223</v>
      </c>
      <c r="E18" s="2">
        <f t="shared" si="1"/>
        <v>19</v>
      </c>
    </row>
    <row r="19" spans="1:5" x14ac:dyDescent="0.25">
      <c r="A19" t="s">
        <v>30</v>
      </c>
      <c r="B19">
        <v>149</v>
      </c>
      <c r="C19">
        <v>19</v>
      </c>
      <c r="D19">
        <f t="shared" si="0"/>
        <v>149</v>
      </c>
      <c r="E19" s="2">
        <f t="shared" si="1"/>
        <v>13</v>
      </c>
    </row>
    <row r="20" spans="1:5" x14ac:dyDescent="0.25">
      <c r="A20" t="s">
        <v>31</v>
      </c>
      <c r="B20">
        <v>91</v>
      </c>
      <c r="C20">
        <v>46</v>
      </c>
      <c r="D20">
        <f t="shared" si="0"/>
        <v>91</v>
      </c>
      <c r="E20" s="2">
        <f t="shared" si="1"/>
        <v>8</v>
      </c>
    </row>
    <row r="21" spans="1:5" x14ac:dyDescent="0.25">
      <c r="A21" t="s">
        <v>32</v>
      </c>
      <c r="B21">
        <v>43</v>
      </c>
      <c r="C21">
        <v>110</v>
      </c>
      <c r="D21">
        <f>MAX(C21)</f>
        <v>110</v>
      </c>
      <c r="E21" s="2">
        <f>ROUNDUP(D21/12, 0)</f>
        <v>10</v>
      </c>
    </row>
    <row r="22" spans="1:5" x14ac:dyDescent="0.25">
      <c r="A22" t="s">
        <v>33</v>
      </c>
      <c r="B22">
        <v>244</v>
      </c>
      <c r="C22">
        <v>276</v>
      </c>
      <c r="D22">
        <f t="shared" si="0"/>
        <v>244</v>
      </c>
      <c r="E22" s="2">
        <f t="shared" si="1"/>
        <v>21</v>
      </c>
    </row>
    <row r="23" spans="1:5" x14ac:dyDescent="0.25">
      <c r="A23" t="s">
        <v>34</v>
      </c>
      <c r="B23">
        <v>113</v>
      </c>
      <c r="C23">
        <v>28</v>
      </c>
      <c r="D23">
        <f t="shared" si="0"/>
        <v>113</v>
      </c>
      <c r="E23" s="2">
        <f t="shared" si="1"/>
        <v>10</v>
      </c>
    </row>
    <row r="24" spans="1:5" x14ac:dyDescent="0.25">
      <c r="A24" t="s">
        <v>35</v>
      </c>
      <c r="B24">
        <v>68</v>
      </c>
      <c r="C24">
        <v>478</v>
      </c>
      <c r="D24">
        <f t="shared" si="0"/>
        <v>68</v>
      </c>
      <c r="E24" s="2">
        <f t="shared" si="1"/>
        <v>6</v>
      </c>
    </row>
    <row r="25" spans="1:5" x14ac:dyDescent="0.25">
      <c r="A25" t="s">
        <v>36</v>
      </c>
      <c r="B25">
        <v>53</v>
      </c>
      <c r="C25">
        <v>29</v>
      </c>
      <c r="D25">
        <f t="shared" si="0"/>
        <v>53</v>
      </c>
      <c r="E25" s="2">
        <f t="shared" si="1"/>
        <v>5</v>
      </c>
    </row>
    <row r="26" spans="1:5" x14ac:dyDescent="0.25">
      <c r="A26" t="s">
        <v>37</v>
      </c>
      <c r="B26">
        <v>115</v>
      </c>
      <c r="C26">
        <v>30</v>
      </c>
      <c r="D26">
        <f t="shared" si="0"/>
        <v>115</v>
      </c>
      <c r="E26" s="2">
        <f t="shared" si="1"/>
        <v>10</v>
      </c>
    </row>
    <row r="27" spans="1:5" x14ac:dyDescent="0.25">
      <c r="A27" t="s">
        <v>38</v>
      </c>
      <c r="B27">
        <v>169</v>
      </c>
      <c r="C27">
        <v>70</v>
      </c>
      <c r="D27">
        <f t="shared" si="0"/>
        <v>169</v>
      </c>
      <c r="E27" s="2">
        <f t="shared" si="1"/>
        <v>15</v>
      </c>
    </row>
    <row r="28" spans="1:5" x14ac:dyDescent="0.25">
      <c r="A28" t="s">
        <v>39</v>
      </c>
      <c r="B28">
        <v>107</v>
      </c>
      <c r="C28">
        <v>29</v>
      </c>
      <c r="D28">
        <f t="shared" si="0"/>
        <v>107</v>
      </c>
      <c r="E28" s="2">
        <f t="shared" si="1"/>
        <v>9</v>
      </c>
    </row>
    <row r="29" spans="1:5" x14ac:dyDescent="0.25">
      <c r="A29" t="s">
        <v>40</v>
      </c>
      <c r="B29">
        <v>166</v>
      </c>
      <c r="C29">
        <v>950</v>
      </c>
      <c r="D29">
        <f t="shared" si="0"/>
        <v>166</v>
      </c>
      <c r="E29">
        <f>ROUNDUP(D29/6,0)</f>
        <v>28</v>
      </c>
    </row>
    <row r="30" spans="1:5" x14ac:dyDescent="0.25">
      <c r="A30" t="s">
        <v>41</v>
      </c>
      <c r="B30">
        <v>79</v>
      </c>
      <c r="C30">
        <v>96</v>
      </c>
      <c r="D30">
        <f t="shared" si="0"/>
        <v>79</v>
      </c>
      <c r="E30">
        <f t="shared" ref="E30:E38" si="2">ROUNDUP(D30/6,0)</f>
        <v>14</v>
      </c>
    </row>
    <row r="31" spans="1:5" x14ac:dyDescent="0.25">
      <c r="A31" t="s">
        <v>42</v>
      </c>
      <c r="B31">
        <v>49</v>
      </c>
      <c r="C31">
        <v>92</v>
      </c>
      <c r="D31">
        <f t="shared" si="0"/>
        <v>49</v>
      </c>
      <c r="E31">
        <f t="shared" si="2"/>
        <v>9</v>
      </c>
    </row>
    <row r="32" spans="1:5" x14ac:dyDescent="0.25">
      <c r="A32" t="s">
        <v>43</v>
      </c>
      <c r="B32">
        <v>43</v>
      </c>
      <c r="C32">
        <v>119</v>
      </c>
      <c r="D32">
        <f t="shared" si="0"/>
        <v>43</v>
      </c>
      <c r="E32">
        <f t="shared" si="2"/>
        <v>8</v>
      </c>
    </row>
    <row r="33" spans="1:5" x14ac:dyDescent="0.25">
      <c r="A33" t="s">
        <v>44</v>
      </c>
      <c r="B33">
        <v>211</v>
      </c>
      <c r="C33">
        <v>411</v>
      </c>
      <c r="D33">
        <f t="shared" si="0"/>
        <v>211</v>
      </c>
      <c r="E33">
        <f t="shared" si="2"/>
        <v>36</v>
      </c>
    </row>
    <row r="34" spans="1:5" x14ac:dyDescent="0.25">
      <c r="A34" t="s">
        <v>45</v>
      </c>
      <c r="B34">
        <v>165</v>
      </c>
      <c r="C34">
        <v>70</v>
      </c>
      <c r="D34">
        <f t="shared" si="0"/>
        <v>165</v>
      </c>
      <c r="E34">
        <f t="shared" si="2"/>
        <v>28</v>
      </c>
    </row>
    <row r="35" spans="1:5" x14ac:dyDescent="0.25">
      <c r="A35" t="s">
        <v>46</v>
      </c>
      <c r="B35">
        <v>56</v>
      </c>
      <c r="C35">
        <v>121</v>
      </c>
      <c r="D35">
        <f t="shared" si="0"/>
        <v>56</v>
      </c>
      <c r="E35">
        <f t="shared" si="2"/>
        <v>10</v>
      </c>
    </row>
    <row r="36" spans="1:5" x14ac:dyDescent="0.25">
      <c r="A36" t="s">
        <v>47</v>
      </c>
      <c r="B36">
        <v>22</v>
      </c>
      <c r="C36">
        <v>23</v>
      </c>
      <c r="D36">
        <f t="shared" si="0"/>
        <v>22</v>
      </c>
      <c r="E36">
        <f t="shared" si="2"/>
        <v>4</v>
      </c>
    </row>
    <row r="37" spans="1:5" x14ac:dyDescent="0.25">
      <c r="A37" t="s">
        <v>48</v>
      </c>
      <c r="B37">
        <v>87</v>
      </c>
      <c r="C37">
        <v>123</v>
      </c>
      <c r="D37">
        <f t="shared" si="0"/>
        <v>87</v>
      </c>
      <c r="E37">
        <f t="shared" si="2"/>
        <v>15</v>
      </c>
    </row>
    <row r="38" spans="1:5" x14ac:dyDescent="0.25">
      <c r="A38" t="s">
        <v>49</v>
      </c>
      <c r="B38">
        <v>129</v>
      </c>
      <c r="C38">
        <v>92</v>
      </c>
      <c r="D38">
        <f t="shared" si="0"/>
        <v>129</v>
      </c>
      <c r="E38">
        <f t="shared" si="2"/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opLeftCell="B1" workbookViewId="0">
      <selection activeCell="E12" sqref="E12"/>
    </sheetView>
  </sheetViews>
  <sheetFormatPr baseColWidth="10" defaultRowHeight="15" x14ac:dyDescent="0.25"/>
  <cols>
    <col min="3" max="3" width="17.42578125" customWidth="1"/>
  </cols>
  <sheetData>
    <row r="1" spans="1:20" x14ac:dyDescent="0.25">
      <c r="A1" s="1" t="s">
        <v>61</v>
      </c>
      <c r="B1" s="1" t="s">
        <v>62</v>
      </c>
      <c r="C1" s="15" t="s">
        <v>81</v>
      </c>
      <c r="D1" s="15" t="s">
        <v>82</v>
      </c>
      <c r="E1" s="15" t="s">
        <v>83</v>
      </c>
      <c r="F1" s="16"/>
      <c r="G1" s="16"/>
      <c r="H1" s="23"/>
      <c r="I1" s="23"/>
      <c r="J1" s="23"/>
      <c r="K1" s="23"/>
      <c r="L1" s="23"/>
      <c r="P1" s="1"/>
      <c r="Q1" s="1"/>
      <c r="R1" s="1"/>
      <c r="S1" s="1"/>
    </row>
    <row r="2" spans="1:20" x14ac:dyDescent="0.25">
      <c r="A2" t="s">
        <v>63</v>
      </c>
      <c r="B2" t="s">
        <v>64</v>
      </c>
      <c r="C2" s="16">
        <v>36779</v>
      </c>
      <c r="D2" s="17">
        <f>C2/$C$11</f>
        <v>5.0186601532384065E-2</v>
      </c>
      <c r="E2" s="16">
        <v>10</v>
      </c>
      <c r="F2" s="18">
        <f>E2*D2</f>
        <v>0.50186601532384068</v>
      </c>
      <c r="G2" s="16">
        <v>4</v>
      </c>
      <c r="H2" s="23"/>
      <c r="I2" s="23">
        <v>0</v>
      </c>
      <c r="J2" s="23">
        <v>33</v>
      </c>
      <c r="K2" s="23">
        <f>I2*J2</f>
        <v>0</v>
      </c>
      <c r="L2" s="23">
        <v>4</v>
      </c>
      <c r="M2">
        <f>MAX(G2,L2)</f>
        <v>4</v>
      </c>
      <c r="T2" s="2"/>
    </row>
    <row r="3" spans="1:20" x14ac:dyDescent="0.25">
      <c r="A3" t="s">
        <v>65</v>
      </c>
      <c r="B3" t="s">
        <v>64</v>
      </c>
      <c r="C3" s="16">
        <v>52180</v>
      </c>
      <c r="D3" s="17">
        <f t="shared" ref="D3:D10" si="0">C3/$C$11</f>
        <v>7.1201959486658167E-2</v>
      </c>
      <c r="E3" s="16">
        <v>10</v>
      </c>
      <c r="F3" s="18">
        <f t="shared" ref="F3:F10" si="1">E3*D3</f>
        <v>0.71201959486658173</v>
      </c>
      <c r="G3" s="16">
        <v>4</v>
      </c>
      <c r="H3" s="23"/>
      <c r="I3" s="23">
        <v>0</v>
      </c>
      <c r="J3" s="23">
        <v>33</v>
      </c>
      <c r="K3" s="23">
        <f t="shared" ref="K3:K7" si="2">I3*J3</f>
        <v>0</v>
      </c>
      <c r="L3" s="23">
        <v>4</v>
      </c>
      <c r="M3">
        <f t="shared" ref="M3:M10" si="3">MAX(G3,L3)</f>
        <v>4</v>
      </c>
      <c r="T3" s="2"/>
    </row>
    <row r="4" spans="1:20" x14ac:dyDescent="0.25">
      <c r="A4" t="s">
        <v>66</v>
      </c>
      <c r="B4" t="s">
        <v>64</v>
      </c>
      <c r="C4" s="16">
        <v>89843</v>
      </c>
      <c r="D4" s="17">
        <f t="shared" si="0"/>
        <v>0.12259481882253409</v>
      </c>
      <c r="E4" s="16">
        <v>10</v>
      </c>
      <c r="F4" s="18">
        <f t="shared" si="1"/>
        <v>1.2259481882253409</v>
      </c>
      <c r="G4" s="16">
        <v>4</v>
      </c>
      <c r="H4" s="23"/>
      <c r="I4" s="23">
        <v>0</v>
      </c>
      <c r="J4" s="23">
        <v>33</v>
      </c>
      <c r="K4" s="23">
        <f t="shared" si="2"/>
        <v>0</v>
      </c>
      <c r="L4" s="23">
        <v>4</v>
      </c>
      <c r="M4">
        <f t="shared" si="3"/>
        <v>4</v>
      </c>
      <c r="T4" s="2"/>
    </row>
    <row r="5" spans="1:20" x14ac:dyDescent="0.25">
      <c r="A5" t="s">
        <v>67</v>
      </c>
      <c r="B5" t="s">
        <v>64</v>
      </c>
      <c r="C5" s="16">
        <v>23224</v>
      </c>
      <c r="D5" s="17">
        <f t="shared" si="0"/>
        <v>3.1690193697166524E-2</v>
      </c>
      <c r="E5" s="16">
        <v>10</v>
      </c>
      <c r="F5" s="18">
        <f t="shared" si="1"/>
        <v>0.31690193697166524</v>
      </c>
      <c r="G5" s="16">
        <v>4</v>
      </c>
      <c r="H5" s="23"/>
      <c r="I5" s="23">
        <v>0</v>
      </c>
      <c r="J5" s="23">
        <v>33</v>
      </c>
      <c r="K5" s="23">
        <f t="shared" si="2"/>
        <v>0</v>
      </c>
      <c r="L5" s="23">
        <v>4</v>
      </c>
      <c r="M5">
        <f t="shared" si="3"/>
        <v>4</v>
      </c>
      <c r="T5" s="2"/>
    </row>
    <row r="6" spans="1:20" x14ac:dyDescent="0.25">
      <c r="A6" t="s">
        <v>68</v>
      </c>
      <c r="B6" t="s">
        <v>64</v>
      </c>
      <c r="C6" s="16">
        <v>30359</v>
      </c>
      <c r="D6" s="17">
        <f t="shared" si="0"/>
        <v>4.1426222461775686E-2</v>
      </c>
      <c r="E6" s="16">
        <v>10</v>
      </c>
      <c r="F6" s="18">
        <f t="shared" si="1"/>
        <v>0.41426222461775686</v>
      </c>
      <c r="G6" s="16">
        <v>4</v>
      </c>
      <c r="H6" s="23"/>
      <c r="I6" s="23">
        <v>0</v>
      </c>
      <c r="J6" s="23">
        <v>33</v>
      </c>
      <c r="K6" s="23">
        <f t="shared" si="2"/>
        <v>0</v>
      </c>
      <c r="L6" s="23">
        <v>4</v>
      </c>
      <c r="M6">
        <f t="shared" si="3"/>
        <v>4</v>
      </c>
      <c r="T6" s="2"/>
    </row>
    <row r="7" spans="1:20" x14ac:dyDescent="0.25">
      <c r="A7" t="s">
        <v>69</v>
      </c>
      <c r="B7" t="s">
        <v>64</v>
      </c>
      <c r="C7" s="16">
        <v>26503</v>
      </c>
      <c r="D7" s="17">
        <f t="shared" si="0"/>
        <v>3.6164536839304352E-2</v>
      </c>
      <c r="E7" s="16">
        <v>10</v>
      </c>
      <c r="F7" s="18">
        <f t="shared" si="1"/>
        <v>0.36164536839304351</v>
      </c>
      <c r="G7" s="16">
        <v>4</v>
      </c>
      <c r="H7" s="23"/>
      <c r="I7" s="23">
        <v>0</v>
      </c>
      <c r="J7" s="23">
        <v>33</v>
      </c>
      <c r="K7" s="23">
        <f t="shared" si="2"/>
        <v>0</v>
      </c>
      <c r="L7" s="23">
        <v>4</v>
      </c>
      <c r="M7">
        <f t="shared" si="3"/>
        <v>4</v>
      </c>
      <c r="T7" s="2"/>
    </row>
    <row r="8" spans="1:20" x14ac:dyDescent="0.25">
      <c r="A8" s="19" t="s">
        <v>70</v>
      </c>
      <c r="B8" s="19" t="s">
        <v>64</v>
      </c>
      <c r="C8" s="21">
        <v>175527</v>
      </c>
      <c r="D8" s="20">
        <f t="shared" si="0"/>
        <v>0.23951449487954479</v>
      </c>
      <c r="E8" s="21">
        <v>10</v>
      </c>
      <c r="F8" s="22">
        <f t="shared" si="1"/>
        <v>2.3951449487954477</v>
      </c>
      <c r="G8" s="21">
        <v>4</v>
      </c>
      <c r="H8" s="24">
        <v>175527</v>
      </c>
      <c r="I8" s="24">
        <f>H8/$H$11</f>
        <v>0.37034372316475966</v>
      </c>
      <c r="J8" s="24">
        <v>33</v>
      </c>
      <c r="K8" s="24">
        <f>I8*J8</f>
        <v>12.221342864437069</v>
      </c>
      <c r="L8" s="24">
        <v>16</v>
      </c>
      <c r="M8">
        <f t="shared" si="3"/>
        <v>16</v>
      </c>
    </row>
    <row r="9" spans="1:20" x14ac:dyDescent="0.25">
      <c r="A9" s="19" t="s">
        <v>71</v>
      </c>
      <c r="B9" s="19" t="s">
        <v>64</v>
      </c>
      <c r="C9" s="21">
        <v>202152</v>
      </c>
      <c r="D9" s="20">
        <f t="shared" si="0"/>
        <v>0.27584550621209125</v>
      </c>
      <c r="E9" s="21">
        <v>10</v>
      </c>
      <c r="F9" s="22">
        <f t="shared" si="1"/>
        <v>2.7584550621209125</v>
      </c>
      <c r="G9" s="21">
        <v>4</v>
      </c>
      <c r="H9" s="24">
        <v>202152</v>
      </c>
      <c r="I9" s="24">
        <f t="shared" ref="I9:I10" si="4">H9/$H$11</f>
        <v>0.42651970537411621</v>
      </c>
      <c r="J9" s="24">
        <v>33</v>
      </c>
      <c r="K9" s="24">
        <f t="shared" ref="K9:K10" si="5">I9*J9</f>
        <v>14.075150277345834</v>
      </c>
      <c r="L9" s="24">
        <v>16</v>
      </c>
      <c r="M9">
        <f t="shared" si="3"/>
        <v>16</v>
      </c>
    </row>
    <row r="10" spans="1:20" x14ac:dyDescent="0.25">
      <c r="A10" s="19" t="s">
        <v>72</v>
      </c>
      <c r="B10" s="19" t="s">
        <v>64</v>
      </c>
      <c r="C10" s="21">
        <v>96278</v>
      </c>
      <c r="D10" s="20">
        <f t="shared" si="0"/>
        <v>0.13137566606854109</v>
      </c>
      <c r="E10" s="21">
        <v>10</v>
      </c>
      <c r="F10" s="22">
        <f t="shared" si="1"/>
        <v>1.313756660685411</v>
      </c>
      <c r="G10" s="21">
        <v>4</v>
      </c>
      <c r="H10" s="24">
        <v>96278</v>
      </c>
      <c r="I10" s="24">
        <f t="shared" si="4"/>
        <v>0.2031365714611241</v>
      </c>
      <c r="J10" s="24">
        <v>33</v>
      </c>
      <c r="K10" s="24">
        <f t="shared" si="5"/>
        <v>6.7035068582170956</v>
      </c>
      <c r="L10" s="24">
        <v>8</v>
      </c>
      <c r="M10">
        <f t="shared" si="3"/>
        <v>8</v>
      </c>
    </row>
    <row r="11" spans="1:20" x14ac:dyDescent="0.25">
      <c r="C11">
        <f>SUM(C2:C10)</f>
        <v>732845</v>
      </c>
      <c r="H11">
        <f>SUM(H8:H10)</f>
        <v>473957</v>
      </c>
    </row>
    <row r="12" spans="1:20" x14ac:dyDescent="0.25">
      <c r="D12" s="20">
        <f>C8/C13</f>
        <v>0.37034372316475966</v>
      </c>
    </row>
    <row r="13" spans="1:20" x14ac:dyDescent="0.25">
      <c r="C13">
        <f>SUM(C8:C10)</f>
        <v>473957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resultados_desemp</vt:lpstr>
      <vt:lpstr>resultados_pobreza</vt:lpstr>
      <vt:lpstr>tamaño_mes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2024-05-27T19:51:24Z</dcterms:created>
  <dcterms:modified xsi:type="dcterms:W3CDTF">2024-06-05T21:49:58Z</dcterms:modified>
</cp:coreProperties>
</file>